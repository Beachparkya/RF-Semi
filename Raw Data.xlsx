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1\Desktop\Fifthe Paper\Resubmission\data\"/>
    </mc:Choice>
  </mc:AlternateContent>
  <xr:revisionPtr revIDLastSave="0" documentId="13_ncr:1_{3254DAF3-CCFB-4A87-B65B-F1BC6E9CBCB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Labeled data" sheetId="1" r:id="rId1"/>
    <sheet name="Unlabel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2" l="1"/>
  <c r="I65" i="2"/>
  <c r="E65" i="2"/>
  <c r="E64" i="2"/>
  <c r="I63" i="2"/>
  <c r="E63" i="2"/>
  <c r="E62" i="2"/>
  <c r="E61" i="2"/>
  <c r="E60" i="2"/>
  <c r="I59" i="2"/>
  <c r="E59" i="2"/>
  <c r="E58" i="2"/>
  <c r="I57" i="2"/>
  <c r="E57" i="2"/>
  <c r="E56" i="2"/>
  <c r="I55" i="2"/>
  <c r="E55" i="2"/>
  <c r="I54" i="2"/>
  <c r="E54" i="2"/>
  <c r="I53" i="2"/>
  <c r="E53" i="2"/>
  <c r="E52" i="2"/>
  <c r="E51" i="2"/>
  <c r="I50" i="2"/>
  <c r="E50" i="2"/>
  <c r="C50" i="2"/>
  <c r="E49" i="2"/>
  <c r="E48" i="2"/>
  <c r="E47" i="2"/>
  <c r="I46" i="2"/>
  <c r="E46" i="2"/>
  <c r="C46" i="2"/>
  <c r="E45" i="2"/>
  <c r="I44" i="2"/>
  <c r="C44" i="2"/>
  <c r="E44" i="2" s="1"/>
  <c r="I43" i="2"/>
  <c r="E43" i="2"/>
  <c r="E42" i="2"/>
  <c r="I41" i="2"/>
  <c r="E41" i="2"/>
  <c r="I40" i="2"/>
  <c r="E40" i="2"/>
  <c r="E39" i="2"/>
  <c r="I38" i="2"/>
  <c r="E38" i="2"/>
  <c r="I37" i="2"/>
  <c r="E37" i="2"/>
  <c r="E36" i="2"/>
  <c r="E35" i="2"/>
  <c r="I34" i="2"/>
  <c r="C34" i="2"/>
  <c r="E34" i="2" s="1"/>
  <c r="I33" i="2"/>
  <c r="E33" i="2"/>
  <c r="I32" i="2"/>
  <c r="E32" i="2"/>
  <c r="E31" i="2"/>
  <c r="I30" i="2"/>
  <c r="E30" i="2"/>
  <c r="I29" i="2"/>
  <c r="E29" i="2"/>
  <c r="I28" i="2"/>
  <c r="E28" i="2"/>
  <c r="I27" i="2"/>
  <c r="E27" i="2"/>
  <c r="E26" i="2"/>
  <c r="I25" i="2"/>
  <c r="E25" i="2"/>
  <c r="I24" i="2"/>
  <c r="E24" i="2"/>
  <c r="E23" i="2"/>
  <c r="E22" i="2"/>
  <c r="E21" i="2"/>
  <c r="I20" i="2"/>
  <c r="E20" i="2"/>
  <c r="I19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<sst xmlns="http://schemas.openxmlformats.org/spreadsheetml/2006/main" count="85" uniqueCount="73">
  <si>
    <t>Date</t>
  </si>
  <si>
    <t>RO</t>
  </si>
  <si>
    <t>6/19/2019 5:00:00 AM</t>
  </si>
  <si>
    <t>6/20/2019 9:00:00 PM</t>
  </si>
  <si>
    <t>6/27/2019 5:20:00 PM</t>
  </si>
  <si>
    <t>7/3/2019 9:50:00 PM</t>
  </si>
  <si>
    <t>7/16/2019 5:30:00 AM</t>
  </si>
  <si>
    <t>8/6/2019 8:50:00 PM</t>
  </si>
  <si>
    <t>8/16/2019 9:15:00 AM</t>
  </si>
  <si>
    <t>8/22/2019 7:25:00 PM</t>
  </si>
  <si>
    <t>9/1/2019 11:10:00 PM</t>
  </si>
  <si>
    <t>RR</t>
  </si>
  <si>
    <t>6/6/2019 9:50:00 PM</t>
  </si>
  <si>
    <t>6/8/2019 7:45:00 PM</t>
  </si>
  <si>
    <t>6/27/2019 4:25:00 AM</t>
  </si>
  <si>
    <t>7/16/2019 5:45:00 AM</t>
  </si>
  <si>
    <t>8/16/2019 9:10:00 AM</t>
  </si>
  <si>
    <t>AB</t>
  </si>
  <si>
    <t>5/17/2019 5:25:00 AM</t>
  </si>
  <si>
    <t>6/20/2019 11:00:00 PM</t>
  </si>
  <si>
    <t>6/23/2019 3:50:00 PM</t>
  </si>
  <si>
    <t>7/16/2019 7:45:00 AM</t>
  </si>
  <si>
    <t>9/9/2019 12:00:00 PM</t>
  </si>
  <si>
    <t>9/19/2019 1:00:00 AM</t>
  </si>
  <si>
    <t>CR</t>
  </si>
  <si>
    <t>5/17/2019 7:00:00 AM</t>
  </si>
  <si>
    <t>6/19/2019 5:25:00 AM</t>
  </si>
  <si>
    <t>6/20/2019 10:35:00 PM</t>
  </si>
  <si>
    <t>6/23/2019 3:35:00 PM</t>
  </si>
  <si>
    <t>6/27/2019 3:30:00 AM</t>
  </si>
  <si>
    <t>7/3/2019 5:00:00 PM</t>
  </si>
  <si>
    <t>8/6/2019 4:35:00 PM</t>
  </si>
  <si>
    <t>8/16/2019 10:00:00 AM</t>
  </si>
  <si>
    <t>8/22/2019 8:45:00 PM</t>
  </si>
  <si>
    <t>8/31/2019 5:35:00 PM</t>
  </si>
  <si>
    <t>9/9/2019 9:55:00 AM</t>
  </si>
  <si>
    <t>9/19/2019 1:20:00 AM</t>
  </si>
  <si>
    <t>6/28/2018 10:30:00 PM</t>
  </si>
  <si>
    <t>7/24/2018 12:05:00 AM</t>
  </si>
  <si>
    <t>8/24/2018 10:05:00 AM</t>
  </si>
  <si>
    <t>8/26/2018 7:35:00 PM</t>
  </si>
  <si>
    <t>6/23/2018 5:20:00 AM</t>
  </si>
  <si>
    <t>6/28/2018 10:35:00 PM</t>
  </si>
  <si>
    <t>7/10/2018 11:15:00 AM</t>
  </si>
  <si>
    <t>7/23/2018 4:10:00 PM</t>
  </si>
  <si>
    <t>8/26/2018 7:40:00 PM</t>
  </si>
  <si>
    <t>9/10/2018 1:20:00 PM</t>
  </si>
  <si>
    <t>9/20/2018 11:55:00 PM</t>
  </si>
  <si>
    <t>9/26/2018 11:00:00 PM</t>
  </si>
  <si>
    <t>8/24/2018 10:10:00 AM</t>
  </si>
  <si>
    <t>9/26/2018 10:25:00 PM</t>
  </si>
  <si>
    <t>10/3/2018 9:20:00 AM</t>
  </si>
  <si>
    <t>6/22/2018 1:25:00 PM</t>
  </si>
  <si>
    <t>6/28/2018 11:30:00 PM</t>
  </si>
  <si>
    <t>7/10/2018 11:45:00 AM</t>
  </si>
  <si>
    <t>7/23/2018 5:00:00 PM</t>
  </si>
  <si>
    <t>8/24/2018 10:55:00 AM</t>
  </si>
  <si>
    <t>9/27/2018 12:20:00 AM</t>
  </si>
  <si>
    <t>RO</t>
    <phoneticPr fontId="1" type="noConversion"/>
  </si>
  <si>
    <t>RR</t>
    <phoneticPr fontId="1" type="noConversion"/>
  </si>
  <si>
    <t>AB</t>
    <phoneticPr fontId="1" type="noConversion"/>
  </si>
  <si>
    <t>CR</t>
    <phoneticPr fontId="1" type="noConversion"/>
  </si>
  <si>
    <t>RD (h)</t>
    <phoneticPr fontId="1" type="noConversion"/>
  </si>
  <si>
    <t>RI-max (mm/h)</t>
    <phoneticPr fontId="1" type="noConversion"/>
  </si>
  <si>
    <t>RI-avg(mm/h)</t>
    <phoneticPr fontId="1" type="noConversion"/>
  </si>
  <si>
    <t>RT(mm)</t>
    <phoneticPr fontId="1" type="noConversion"/>
  </si>
  <si>
    <t>ADD(days)</t>
    <phoneticPr fontId="1" type="noConversion"/>
  </si>
  <si>
    <t>RT-30(mm)</t>
    <phoneticPr fontId="1" type="noConversion"/>
  </si>
  <si>
    <t>RT-peak(h)</t>
    <phoneticPr fontId="1" type="noConversion"/>
  </si>
  <si>
    <t>TSS(mg/L)</t>
    <phoneticPr fontId="1" type="noConversion"/>
  </si>
  <si>
    <t>TN(mg/L)</t>
    <phoneticPr fontId="1" type="noConversion"/>
  </si>
  <si>
    <t>TP(mg/L)</t>
    <phoneticPr fontId="1" type="noConversion"/>
  </si>
  <si>
    <t>Catchment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</si>
</sst>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/>
    <xf numFmtId="176" fontId="0" fillId="0" borderId="0" xfId="0" applyNumberFormat="1"/>
    <xf numFmtId="0" fontId="2" fillId="0" borderId="0" xfId="0" applyFont="1"/>
    <xf numFmtId="22" fontId="0" fillId="0" borderId="0" xfId="0" applyNumberFormat="1"/>
    <xf numFmtId="22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workbookViewId="0">
      <selection activeCell="M4" sqref="M4"/>
    </sheetView>
  </sheetViews>
  <sheetFormatPr defaultRowHeight="14.25" x14ac:dyDescent="0.2"/>
  <cols>
    <col min="2" max="2" width="19.625" bestFit="1" customWidth="1"/>
    <col min="4" max="4" width="13.375" bestFit="1" customWidth="1"/>
    <col min="5" max="5" width="12.375" bestFit="1" customWidth="1"/>
    <col min="7" max="7" width="10.25" bestFit="1" customWidth="1"/>
    <col min="8" max="8" width="10.625" bestFit="1" customWidth="1"/>
    <col min="9" max="9" width="10.5" bestFit="1" customWidth="1"/>
    <col min="10" max="10" width="10" bestFit="1" customWidth="1"/>
    <col min="11" max="11" width="9.25" bestFit="1" customWidth="1"/>
    <col min="12" max="12" width="8.875" bestFit="1" customWidth="1"/>
  </cols>
  <sheetData>
    <row r="1" spans="1:12" ht="15.75" x14ac:dyDescent="0.25">
      <c r="A1" s="9" t="s">
        <v>72</v>
      </c>
      <c r="B1" s="1" t="s">
        <v>0</v>
      </c>
      <c r="C1" s="6" t="s">
        <v>62</v>
      </c>
      <c r="D1" s="6" t="s">
        <v>63</v>
      </c>
      <c r="E1" s="7" t="s">
        <v>64</v>
      </c>
      <c r="F1" s="7" t="s">
        <v>65</v>
      </c>
      <c r="G1" s="6" t="s">
        <v>66</v>
      </c>
      <c r="H1" s="7" t="s">
        <v>67</v>
      </c>
      <c r="I1" s="7" t="s">
        <v>68</v>
      </c>
      <c r="J1" s="5" t="s">
        <v>69</v>
      </c>
      <c r="K1" s="5" t="s">
        <v>70</v>
      </c>
      <c r="L1" s="5" t="s">
        <v>71</v>
      </c>
    </row>
    <row r="2" spans="1:12" ht="15.75" x14ac:dyDescent="0.2">
      <c r="A2" s="14" t="s">
        <v>58</v>
      </c>
      <c r="B2" s="1" t="s">
        <v>37</v>
      </c>
      <c r="C2" s="6">
        <v>3.92</v>
      </c>
      <c r="D2" s="6">
        <v>4.8</v>
      </c>
      <c r="E2" s="6">
        <v>1.94</v>
      </c>
      <c r="F2" s="6">
        <v>7.6</v>
      </c>
      <c r="G2" s="6">
        <v>5.38</v>
      </c>
      <c r="H2" s="6">
        <v>1</v>
      </c>
      <c r="I2" s="6">
        <v>0.33333333333333331</v>
      </c>
      <c r="J2" s="2">
        <v>71.7</v>
      </c>
      <c r="K2" s="3">
        <v>1.55</v>
      </c>
      <c r="L2" s="3">
        <v>4.2000000000000003E-2</v>
      </c>
    </row>
    <row r="3" spans="1:12" ht="15.75" x14ac:dyDescent="0.2">
      <c r="A3" s="14"/>
      <c r="B3" s="1" t="s">
        <v>38</v>
      </c>
      <c r="C3" s="6">
        <v>5.08</v>
      </c>
      <c r="D3" s="6">
        <v>9.6</v>
      </c>
      <c r="E3" s="6">
        <v>1.377</v>
      </c>
      <c r="F3" s="6">
        <v>7</v>
      </c>
      <c r="G3" s="6">
        <v>4.9000000000000004</v>
      </c>
      <c r="H3" s="6">
        <v>0.6</v>
      </c>
      <c r="I3" s="6">
        <v>1.9166666666666667</v>
      </c>
      <c r="J3" s="2">
        <v>116</v>
      </c>
      <c r="K3" s="3">
        <v>2.08</v>
      </c>
      <c r="L3" s="3">
        <v>0.251</v>
      </c>
    </row>
    <row r="4" spans="1:12" ht="15.75" x14ac:dyDescent="0.2">
      <c r="A4" s="14"/>
      <c r="B4" s="1" t="s">
        <v>39</v>
      </c>
      <c r="C4" s="6">
        <v>5.25</v>
      </c>
      <c r="D4" s="6">
        <v>14.4</v>
      </c>
      <c r="E4" s="6">
        <v>1.867</v>
      </c>
      <c r="F4" s="6">
        <v>9.8000000000000007</v>
      </c>
      <c r="G4" s="6">
        <v>4.2300000000000004</v>
      </c>
      <c r="H4" s="6">
        <v>3.4</v>
      </c>
      <c r="I4" s="6">
        <v>0.91666666666666663</v>
      </c>
      <c r="J4" s="2">
        <v>96</v>
      </c>
      <c r="K4" s="3">
        <v>3.13</v>
      </c>
      <c r="L4" s="3">
        <v>9.4799999999999995E-2</v>
      </c>
    </row>
    <row r="5" spans="1:12" ht="15.75" x14ac:dyDescent="0.2">
      <c r="A5" s="14"/>
      <c r="B5" s="1" t="s">
        <v>40</v>
      </c>
      <c r="C5" s="6">
        <v>5.42</v>
      </c>
      <c r="D5" s="6">
        <v>7.2</v>
      </c>
      <c r="E5" s="6">
        <v>1.514</v>
      </c>
      <c r="F5" s="6">
        <v>8.1999999999999993</v>
      </c>
      <c r="G5" s="6">
        <v>2.1800000000000002</v>
      </c>
      <c r="H5" s="6">
        <v>1</v>
      </c>
      <c r="I5" s="6">
        <v>1.9166666666666667</v>
      </c>
      <c r="J5" s="2">
        <v>22</v>
      </c>
      <c r="K5" s="3">
        <v>0.76</v>
      </c>
      <c r="L5" s="3">
        <v>7.0300000000000001E-2</v>
      </c>
    </row>
    <row r="6" spans="1:12" ht="15.75" x14ac:dyDescent="0.2">
      <c r="A6" s="14"/>
      <c r="B6" s="1" t="s">
        <v>2</v>
      </c>
      <c r="C6" s="6">
        <v>0.75</v>
      </c>
      <c r="D6" s="6">
        <v>72</v>
      </c>
      <c r="E6" s="6">
        <v>16</v>
      </c>
      <c r="F6" s="6">
        <v>12</v>
      </c>
      <c r="G6" s="6">
        <v>3.18</v>
      </c>
      <c r="H6" s="6">
        <v>10.799999999999999</v>
      </c>
      <c r="I6" s="6">
        <v>0.25</v>
      </c>
      <c r="J6" s="2">
        <v>148</v>
      </c>
      <c r="K6" s="3">
        <v>1.1000000000000001</v>
      </c>
      <c r="L6" s="3">
        <v>0.19500000000000001</v>
      </c>
    </row>
    <row r="7" spans="1:12" ht="15.75" x14ac:dyDescent="0.2">
      <c r="A7" s="14"/>
      <c r="B7" s="1" t="s">
        <v>3</v>
      </c>
      <c r="C7" s="6">
        <v>17.329999999999998</v>
      </c>
      <c r="D7" s="6">
        <v>52.8</v>
      </c>
      <c r="E7" s="6">
        <v>4.95</v>
      </c>
      <c r="F7" s="6">
        <v>85.8</v>
      </c>
      <c r="G7" s="6">
        <v>1.63</v>
      </c>
      <c r="H7" s="6">
        <v>0.39999999999999997</v>
      </c>
      <c r="I7" s="6">
        <v>5</v>
      </c>
      <c r="J7" s="2">
        <v>115</v>
      </c>
      <c r="K7" s="3">
        <v>0.41199999999999998</v>
      </c>
      <c r="L7" s="3">
        <v>0.13800000000000001</v>
      </c>
    </row>
    <row r="8" spans="1:12" ht="15.75" x14ac:dyDescent="0.2">
      <c r="A8" s="14"/>
      <c r="B8" s="1" t="s">
        <v>4</v>
      </c>
      <c r="C8" s="6">
        <v>18</v>
      </c>
      <c r="D8" s="6">
        <v>64.8</v>
      </c>
      <c r="E8" s="6">
        <v>2.3439999999999999</v>
      </c>
      <c r="F8" s="6">
        <v>41.4</v>
      </c>
      <c r="G8" s="6">
        <v>2.2000000000000002</v>
      </c>
      <c r="H8" s="6">
        <v>2.1999999999999997</v>
      </c>
      <c r="I8" s="6">
        <v>14</v>
      </c>
      <c r="J8" s="2">
        <v>215.15326275525265</v>
      </c>
      <c r="K8" s="3">
        <v>1.6281575788589679</v>
      </c>
      <c r="L8" s="3">
        <v>0.25213434577556482</v>
      </c>
    </row>
    <row r="9" spans="1:12" ht="15.75" x14ac:dyDescent="0.2">
      <c r="A9" s="14"/>
      <c r="B9" s="1" t="s">
        <v>5</v>
      </c>
      <c r="C9" s="6">
        <v>18.5</v>
      </c>
      <c r="D9" s="6">
        <v>7.2</v>
      </c>
      <c r="E9" s="6">
        <v>1.6220000000000001</v>
      </c>
      <c r="F9" s="6">
        <v>30</v>
      </c>
      <c r="G9" s="6">
        <v>5.97</v>
      </c>
      <c r="H9" s="6">
        <v>0.79999999999999993</v>
      </c>
      <c r="I9" s="6">
        <v>13.666666666666666</v>
      </c>
      <c r="J9" s="2">
        <v>11.2</v>
      </c>
      <c r="K9" s="3">
        <v>0.91200000000000003</v>
      </c>
      <c r="L9" s="3">
        <v>8.3000000000000004E-2</v>
      </c>
    </row>
    <row r="10" spans="1:12" ht="15.75" x14ac:dyDescent="0.2">
      <c r="A10" s="14"/>
      <c r="B10" s="1" t="s">
        <v>6</v>
      </c>
      <c r="C10" s="6">
        <v>1.75</v>
      </c>
      <c r="D10" s="6">
        <v>43.2</v>
      </c>
      <c r="E10" s="6">
        <v>6.8570000000000002</v>
      </c>
      <c r="F10" s="6">
        <v>12</v>
      </c>
      <c r="G10" s="6">
        <v>2.4500000000000002</v>
      </c>
      <c r="H10" s="6">
        <v>1.2</v>
      </c>
      <c r="I10" s="6">
        <v>1.3333333333333333</v>
      </c>
      <c r="J10" s="2">
        <v>77.314096035357295</v>
      </c>
      <c r="K10" s="3">
        <v>0.99314481643061847</v>
      </c>
      <c r="L10" s="3">
        <v>6.3498356601766393E-2</v>
      </c>
    </row>
    <row r="11" spans="1:12" ht="15.75" x14ac:dyDescent="0.2">
      <c r="A11" s="14"/>
      <c r="B11" s="1" t="s">
        <v>7</v>
      </c>
      <c r="C11" s="6">
        <v>1.08</v>
      </c>
      <c r="D11" s="6">
        <v>4.8</v>
      </c>
      <c r="E11" s="6">
        <v>2.2000000000000002</v>
      </c>
      <c r="F11" s="6">
        <v>3.6</v>
      </c>
      <c r="G11" s="6">
        <v>13.16</v>
      </c>
      <c r="H11" s="6">
        <v>0.39999999999999997</v>
      </c>
      <c r="I11" s="6">
        <v>2</v>
      </c>
      <c r="J11" s="2">
        <v>190</v>
      </c>
      <c r="K11" s="3">
        <v>2.09</v>
      </c>
      <c r="L11" s="3">
        <v>0.32900000000000001</v>
      </c>
    </row>
    <row r="12" spans="1:12" ht="15.75" x14ac:dyDescent="0.2">
      <c r="A12" s="14"/>
      <c r="B12" s="1" t="s">
        <v>8</v>
      </c>
      <c r="C12" s="6">
        <v>1.5</v>
      </c>
      <c r="D12" s="6">
        <v>45.6</v>
      </c>
      <c r="E12" s="6">
        <v>6.2670000000000003</v>
      </c>
      <c r="F12" s="6">
        <v>9.4</v>
      </c>
      <c r="G12" s="6">
        <v>5.03</v>
      </c>
      <c r="H12" s="6">
        <v>7</v>
      </c>
      <c r="I12" s="6">
        <v>0.16666666666666666</v>
      </c>
      <c r="J12" s="2">
        <v>135.5</v>
      </c>
      <c r="K12" s="3">
        <v>0.60699999999999998</v>
      </c>
      <c r="L12" s="3">
        <v>0.13</v>
      </c>
    </row>
    <row r="13" spans="1:12" ht="15.75" x14ac:dyDescent="0.2">
      <c r="A13" s="14"/>
      <c r="B13" s="1" t="s">
        <v>9</v>
      </c>
      <c r="C13" s="6">
        <v>1.25</v>
      </c>
      <c r="D13" s="6">
        <v>12</v>
      </c>
      <c r="E13" s="6">
        <v>4.5999999999999996</v>
      </c>
      <c r="F13" s="6">
        <v>5.8</v>
      </c>
      <c r="G13" s="6">
        <v>6.35</v>
      </c>
      <c r="H13" s="6">
        <v>1.8</v>
      </c>
      <c r="I13" s="6">
        <v>0.91666666666666663</v>
      </c>
      <c r="J13" s="2">
        <v>129.74652530562241</v>
      </c>
      <c r="K13" s="3">
        <v>1.1453629435752386</v>
      </c>
      <c r="L13" s="3">
        <v>0.1555050295626825</v>
      </c>
    </row>
    <row r="14" spans="1:12" ht="15.75" x14ac:dyDescent="0.2">
      <c r="A14" s="14"/>
      <c r="B14" s="1" t="s">
        <v>10</v>
      </c>
      <c r="C14" s="6">
        <v>0.25</v>
      </c>
      <c r="D14" s="6">
        <v>88.8</v>
      </c>
      <c r="E14" s="6">
        <v>38</v>
      </c>
      <c r="F14" s="6">
        <v>9.6</v>
      </c>
      <c r="G14" s="6">
        <v>7.15</v>
      </c>
      <c r="H14" s="6">
        <v>9.6</v>
      </c>
      <c r="I14" s="6">
        <v>0.16666666666666666</v>
      </c>
      <c r="J14" s="2">
        <v>247</v>
      </c>
      <c r="K14" s="3">
        <v>1.35</v>
      </c>
      <c r="L14" s="3">
        <v>0.32200000000000001</v>
      </c>
    </row>
    <row r="15" spans="1:12" ht="15.75" x14ac:dyDescent="0.2">
      <c r="A15" s="14" t="s">
        <v>59</v>
      </c>
      <c r="B15" s="4" t="s">
        <v>41</v>
      </c>
      <c r="C15" s="6">
        <v>7.33</v>
      </c>
      <c r="D15" s="6">
        <v>21.6</v>
      </c>
      <c r="E15" s="6">
        <v>4.5270000000000001</v>
      </c>
      <c r="F15" s="6">
        <v>33.200000000000003</v>
      </c>
      <c r="G15" s="6">
        <v>6.6</v>
      </c>
      <c r="H15" s="6">
        <v>4</v>
      </c>
      <c r="I15" s="6">
        <v>0.5</v>
      </c>
      <c r="J15" s="2">
        <v>114</v>
      </c>
      <c r="K15" s="3">
        <v>1.21</v>
      </c>
      <c r="L15" s="3">
        <v>0.17799999999999999</v>
      </c>
    </row>
    <row r="16" spans="1:12" ht="15.75" x14ac:dyDescent="0.2">
      <c r="A16" s="14"/>
      <c r="B16" s="4" t="s">
        <v>42</v>
      </c>
      <c r="C16" s="6">
        <v>3.5</v>
      </c>
      <c r="D16" s="6">
        <v>4.8</v>
      </c>
      <c r="E16" s="6">
        <v>2</v>
      </c>
      <c r="F16" s="6">
        <v>7</v>
      </c>
      <c r="G16" s="6">
        <v>5.41</v>
      </c>
      <c r="H16" s="6">
        <v>1</v>
      </c>
      <c r="I16" s="6">
        <v>1</v>
      </c>
      <c r="J16" s="2">
        <v>13</v>
      </c>
      <c r="K16" s="3">
        <v>0.96</v>
      </c>
      <c r="L16" s="3">
        <v>3.4000000000000002E-2</v>
      </c>
    </row>
    <row r="17" spans="1:12" ht="15.75" x14ac:dyDescent="0.2">
      <c r="A17" s="14"/>
      <c r="B17" s="4" t="s">
        <v>43</v>
      </c>
      <c r="C17" s="6">
        <v>2.75</v>
      </c>
      <c r="D17" s="6">
        <v>4.8</v>
      </c>
      <c r="E17" s="6">
        <v>0.94550000000000001</v>
      </c>
      <c r="F17" s="6">
        <v>2.6</v>
      </c>
      <c r="G17" s="6">
        <v>5.72</v>
      </c>
      <c r="H17" s="6">
        <v>0.39999999999999997</v>
      </c>
      <c r="I17" s="6">
        <v>2.5</v>
      </c>
      <c r="J17" s="2">
        <v>40</v>
      </c>
      <c r="K17" s="3">
        <v>1.57</v>
      </c>
      <c r="L17" s="3">
        <v>0.122</v>
      </c>
    </row>
    <row r="18" spans="1:12" ht="15.75" x14ac:dyDescent="0.2">
      <c r="A18" s="14"/>
      <c r="B18" s="4" t="s">
        <v>44</v>
      </c>
      <c r="C18" s="6">
        <v>0.7</v>
      </c>
      <c r="D18" s="6">
        <v>24</v>
      </c>
      <c r="E18" s="6">
        <v>8.1</v>
      </c>
      <c r="F18" s="6">
        <v>5.4</v>
      </c>
      <c r="G18" s="6">
        <v>4.9400000000000004</v>
      </c>
      <c r="H18" s="6">
        <v>5.2</v>
      </c>
      <c r="I18" s="6">
        <v>0.25</v>
      </c>
      <c r="J18" s="2">
        <v>37.700000000000003</v>
      </c>
      <c r="K18" s="3">
        <v>0.82</v>
      </c>
      <c r="L18" s="3">
        <v>0.114</v>
      </c>
    </row>
    <row r="19" spans="1:12" ht="15.75" x14ac:dyDescent="0.2">
      <c r="A19" s="14"/>
      <c r="B19" s="1" t="s">
        <v>45</v>
      </c>
      <c r="C19" s="6">
        <v>5.33</v>
      </c>
      <c r="D19" s="6">
        <v>7.2</v>
      </c>
      <c r="E19" s="6">
        <v>1.538</v>
      </c>
      <c r="F19" s="6">
        <v>8.1999999999999993</v>
      </c>
      <c r="G19" s="6">
        <v>2.17</v>
      </c>
      <c r="H19" s="6">
        <v>1</v>
      </c>
      <c r="I19" s="6">
        <v>1.9166666666666667</v>
      </c>
      <c r="J19" s="2">
        <v>28</v>
      </c>
      <c r="K19" s="3">
        <v>1.07</v>
      </c>
      <c r="L19" s="3">
        <v>6.3200000000000006E-2</v>
      </c>
    </row>
    <row r="20" spans="1:12" ht="15.75" x14ac:dyDescent="0.2">
      <c r="A20" s="14"/>
      <c r="B20" s="1" t="s">
        <v>46</v>
      </c>
      <c r="C20" s="6">
        <v>1.5</v>
      </c>
      <c r="D20" s="6">
        <v>4.8</v>
      </c>
      <c r="E20" s="6">
        <v>1.6</v>
      </c>
      <c r="F20" s="6">
        <v>2.4</v>
      </c>
      <c r="G20" s="6">
        <v>4.59</v>
      </c>
      <c r="H20" s="6">
        <v>0.39999999999999997</v>
      </c>
      <c r="I20" s="6">
        <v>1.25</v>
      </c>
      <c r="J20" s="2">
        <v>22</v>
      </c>
      <c r="K20" s="3">
        <v>0.95</v>
      </c>
      <c r="L20" s="3">
        <v>5.7000000000000002E-2</v>
      </c>
    </row>
    <row r="21" spans="1:12" ht="15.75" x14ac:dyDescent="0.2">
      <c r="A21" s="14"/>
      <c r="B21" s="1" t="s">
        <v>47</v>
      </c>
      <c r="C21" s="6">
        <v>6.08</v>
      </c>
      <c r="D21" s="6">
        <v>4.8</v>
      </c>
      <c r="E21" s="6">
        <v>1.052</v>
      </c>
      <c r="F21" s="6">
        <v>6.4</v>
      </c>
      <c r="G21" s="6">
        <v>4.5999999999999996</v>
      </c>
      <c r="H21" s="6">
        <v>0.79999999999999993</v>
      </c>
      <c r="I21" s="6">
        <v>0.58333333333333337</v>
      </c>
      <c r="J21" s="2">
        <v>15.3</v>
      </c>
      <c r="K21" s="3">
        <v>1.43</v>
      </c>
      <c r="L21" s="3">
        <v>5.9499999999999997E-2</v>
      </c>
    </row>
    <row r="22" spans="1:12" ht="15.75" x14ac:dyDescent="0.2">
      <c r="A22" s="14"/>
      <c r="B22" s="1" t="s">
        <v>48</v>
      </c>
      <c r="C22" s="6">
        <v>15</v>
      </c>
      <c r="D22" s="6">
        <v>7.2</v>
      </c>
      <c r="E22" s="6">
        <v>0.76</v>
      </c>
      <c r="F22" s="6">
        <v>11.4</v>
      </c>
      <c r="G22" s="6">
        <v>2.78</v>
      </c>
      <c r="H22" s="6">
        <v>1.2</v>
      </c>
      <c r="I22" s="6">
        <v>11.833333333333334</v>
      </c>
      <c r="J22" s="2">
        <v>17</v>
      </c>
      <c r="K22" s="3">
        <v>0.65500000000000003</v>
      </c>
      <c r="L22" s="3">
        <v>4.4749999999999998E-2</v>
      </c>
    </row>
    <row r="23" spans="1:12" ht="15.75" x14ac:dyDescent="0.2">
      <c r="A23" s="14"/>
      <c r="B23" s="1" t="s">
        <v>12</v>
      </c>
      <c r="C23" s="6">
        <v>17.670000000000002</v>
      </c>
      <c r="D23" s="6">
        <v>7.2</v>
      </c>
      <c r="E23" s="6">
        <v>0.97360000000000002</v>
      </c>
      <c r="F23" s="6">
        <v>17.2</v>
      </c>
      <c r="G23" s="6">
        <v>12.37</v>
      </c>
      <c r="H23" s="6">
        <v>1</v>
      </c>
      <c r="I23" s="6">
        <v>0.75</v>
      </c>
      <c r="J23" s="2">
        <v>11.4</v>
      </c>
      <c r="K23" s="3">
        <v>0.81499999999999995</v>
      </c>
      <c r="L23" s="3">
        <v>6.0499999999999998E-2</v>
      </c>
    </row>
    <row r="24" spans="1:12" ht="15.75" x14ac:dyDescent="0.2">
      <c r="A24" s="14"/>
      <c r="B24" s="1" t="s">
        <v>13</v>
      </c>
      <c r="C24" s="6">
        <v>1.4</v>
      </c>
      <c r="D24" s="6">
        <v>14.4</v>
      </c>
      <c r="E24" s="6">
        <v>4.4000000000000004</v>
      </c>
      <c r="F24" s="6">
        <v>5.2</v>
      </c>
      <c r="G24" s="6">
        <v>1.1599999999999999</v>
      </c>
      <c r="H24" s="6">
        <v>4</v>
      </c>
      <c r="I24" s="6">
        <v>0.33333333333333331</v>
      </c>
      <c r="J24" s="2">
        <v>98.7</v>
      </c>
      <c r="K24" s="3">
        <v>1.58</v>
      </c>
      <c r="L24" s="3">
        <v>0.161</v>
      </c>
    </row>
    <row r="25" spans="1:12" ht="15.75" x14ac:dyDescent="0.2">
      <c r="A25" s="14"/>
      <c r="B25" s="1" t="s">
        <v>14</v>
      </c>
      <c r="C25" s="6">
        <v>17.920000000000002</v>
      </c>
      <c r="D25" s="6">
        <v>55.2</v>
      </c>
      <c r="E25" s="6">
        <v>2.3439999999999999</v>
      </c>
      <c r="F25" s="6">
        <v>42</v>
      </c>
      <c r="G25" s="6">
        <v>2.2000000000000002</v>
      </c>
      <c r="H25" s="6">
        <v>2.1999999999999997</v>
      </c>
      <c r="I25" s="6">
        <v>14</v>
      </c>
      <c r="J25" s="2">
        <v>129.16019731390438</v>
      </c>
      <c r="K25" s="3">
        <v>1.9520762248674419</v>
      </c>
      <c r="L25" s="3">
        <v>0.23931713801724269</v>
      </c>
    </row>
    <row r="26" spans="1:12" ht="15.75" x14ac:dyDescent="0.2">
      <c r="A26" s="14"/>
      <c r="B26" s="1" t="s">
        <v>15</v>
      </c>
      <c r="C26" s="6">
        <v>1.3</v>
      </c>
      <c r="D26" s="6">
        <v>26.4</v>
      </c>
      <c r="E26" s="6">
        <v>7.8</v>
      </c>
      <c r="F26" s="6">
        <v>10.4</v>
      </c>
      <c r="G26" s="6">
        <v>2.4700000000000002</v>
      </c>
      <c r="H26" s="6">
        <v>2.8000000000000003</v>
      </c>
      <c r="I26" s="6">
        <v>1.0833333333333333</v>
      </c>
      <c r="J26" s="2">
        <v>33.64362898392347</v>
      </c>
      <c r="K26" s="3">
        <v>1.2868531456672359</v>
      </c>
      <c r="L26" s="3">
        <v>5.6073210322721077E-2</v>
      </c>
    </row>
    <row r="27" spans="1:12" ht="15.75" x14ac:dyDescent="0.2">
      <c r="A27" s="14"/>
      <c r="B27" s="1" t="s">
        <v>16</v>
      </c>
      <c r="C27" s="6">
        <v>1.83</v>
      </c>
      <c r="D27" s="6">
        <v>40.799999999999997</v>
      </c>
      <c r="E27" s="6">
        <v>5.0179999999999998</v>
      </c>
      <c r="F27" s="6">
        <v>9.1999999999999993</v>
      </c>
      <c r="G27" s="6">
        <v>1.51</v>
      </c>
      <c r="H27" s="6">
        <v>6.6000000000000005</v>
      </c>
      <c r="I27" s="6">
        <v>0.33333333333333331</v>
      </c>
      <c r="J27" s="2">
        <v>46.3</v>
      </c>
      <c r="K27" s="3">
        <v>0.627</v>
      </c>
      <c r="L27" s="3">
        <v>4.6900000000000004E-2</v>
      </c>
    </row>
    <row r="28" spans="1:12" ht="15.75" x14ac:dyDescent="0.2">
      <c r="A28" s="14"/>
      <c r="B28" s="1" t="s">
        <v>10</v>
      </c>
      <c r="C28" s="6">
        <v>0.33</v>
      </c>
      <c r="D28" s="6">
        <v>72</v>
      </c>
      <c r="E28" s="6">
        <v>26.4</v>
      </c>
      <c r="F28" s="6">
        <v>8.8000000000000007</v>
      </c>
      <c r="G28" s="6">
        <v>1.54</v>
      </c>
      <c r="H28" s="6">
        <v>8.7999999999999989</v>
      </c>
      <c r="I28" s="6">
        <v>0.25</v>
      </c>
      <c r="J28" s="2">
        <v>187</v>
      </c>
      <c r="K28" s="3">
        <v>0.85099999999999998</v>
      </c>
      <c r="L28" s="3">
        <v>5.1799999999999999E-2</v>
      </c>
    </row>
    <row r="29" spans="1:12" ht="15.75" x14ac:dyDescent="0.2">
      <c r="A29" s="14" t="s">
        <v>60</v>
      </c>
      <c r="B29" s="1" t="s">
        <v>44</v>
      </c>
      <c r="C29" s="6">
        <v>0.67</v>
      </c>
      <c r="D29" s="6">
        <v>153.6</v>
      </c>
      <c r="E29" s="6">
        <v>41.99</v>
      </c>
      <c r="F29" s="6">
        <v>27.99</v>
      </c>
      <c r="G29" s="6">
        <v>13.13</v>
      </c>
      <c r="H29" s="6">
        <v>27.400000000000002</v>
      </c>
      <c r="I29" s="6">
        <v>0.16666666666666666</v>
      </c>
      <c r="J29" s="2">
        <v>456.59120709602774</v>
      </c>
      <c r="K29" s="3">
        <v>2.657426404422162</v>
      </c>
      <c r="L29" s="3">
        <v>0.66119424090500067</v>
      </c>
    </row>
    <row r="30" spans="1:12" ht="15.75" x14ac:dyDescent="0.2">
      <c r="A30" s="14"/>
      <c r="B30" s="1" t="s">
        <v>49</v>
      </c>
      <c r="C30" s="6">
        <v>1.5</v>
      </c>
      <c r="D30" s="6">
        <v>19.2</v>
      </c>
      <c r="E30" s="6">
        <v>8.1329999999999991</v>
      </c>
      <c r="F30" s="6">
        <v>12.2</v>
      </c>
      <c r="G30" s="6">
        <v>11.77</v>
      </c>
      <c r="H30" s="6">
        <v>4.2</v>
      </c>
      <c r="I30" s="6">
        <v>0.91666666666666663</v>
      </c>
      <c r="J30" s="2">
        <v>204.62630675612419</v>
      </c>
      <c r="K30" s="3">
        <v>3.0900982992666561</v>
      </c>
      <c r="L30" s="3">
        <v>0.24804009985957248</v>
      </c>
    </row>
    <row r="31" spans="1:12" ht="15.75" x14ac:dyDescent="0.2">
      <c r="A31" s="14"/>
      <c r="B31" s="1" t="s">
        <v>45</v>
      </c>
      <c r="C31" s="6">
        <v>5.5</v>
      </c>
      <c r="D31" s="6">
        <v>4.8</v>
      </c>
      <c r="E31" s="6">
        <v>1.5549999999999999</v>
      </c>
      <c r="F31" s="6">
        <v>8.5519999999999996</v>
      </c>
      <c r="G31" s="6">
        <v>2.33</v>
      </c>
      <c r="H31" s="6">
        <v>1</v>
      </c>
      <c r="I31" s="6">
        <v>0.33333333333333331</v>
      </c>
      <c r="J31" s="2">
        <v>37.322403649104245</v>
      </c>
      <c r="K31" s="3">
        <v>1.5627163350300786</v>
      </c>
      <c r="L31" s="3">
        <v>0.35215211211740588</v>
      </c>
    </row>
    <row r="32" spans="1:12" ht="15.75" x14ac:dyDescent="0.2">
      <c r="A32" s="14"/>
      <c r="B32" s="1" t="s">
        <v>50</v>
      </c>
      <c r="C32" s="6">
        <v>15.83</v>
      </c>
      <c r="D32" s="6">
        <v>2.4</v>
      </c>
      <c r="E32" s="6">
        <v>0.66949999999999998</v>
      </c>
      <c r="F32" s="6">
        <v>10.6</v>
      </c>
      <c r="G32" s="6">
        <v>2.74</v>
      </c>
      <c r="H32" s="6">
        <v>0.39999999999999997</v>
      </c>
      <c r="I32" s="6">
        <v>8.3333333333333329E-2</v>
      </c>
      <c r="J32" s="2">
        <v>86.836954585930542</v>
      </c>
      <c r="K32" s="3">
        <v>1.3487177203918077</v>
      </c>
      <c r="L32" s="3">
        <v>0.17351409913921045</v>
      </c>
    </row>
    <row r="33" spans="1:12" ht="15.75" x14ac:dyDescent="0.2">
      <c r="A33" s="14"/>
      <c r="B33" s="1" t="s">
        <v>51</v>
      </c>
      <c r="C33" s="6">
        <v>1.83</v>
      </c>
      <c r="D33" s="6">
        <v>7.2</v>
      </c>
      <c r="E33" s="6">
        <v>3.4649999999999999</v>
      </c>
      <c r="F33" s="6">
        <v>6.3520000000000003</v>
      </c>
      <c r="G33" s="6">
        <v>4.53</v>
      </c>
      <c r="H33" s="6">
        <v>2.1999999999999997</v>
      </c>
      <c r="I33" s="6">
        <v>0.25</v>
      </c>
      <c r="J33" s="2">
        <v>120.35322065132888</v>
      </c>
      <c r="K33" s="3">
        <v>1.7552112067724384</v>
      </c>
      <c r="L33" s="3">
        <v>0.17195042471709523</v>
      </c>
    </row>
    <row r="34" spans="1:12" ht="15.75" x14ac:dyDescent="0.2">
      <c r="A34" s="14"/>
      <c r="B34" s="1" t="s">
        <v>18</v>
      </c>
      <c r="C34" s="6">
        <v>37.83</v>
      </c>
      <c r="D34" s="6">
        <v>2.4</v>
      </c>
      <c r="E34" s="6">
        <v>0.37530000000000002</v>
      </c>
      <c r="F34" s="6">
        <v>14.2</v>
      </c>
      <c r="G34" s="6">
        <v>7.19</v>
      </c>
      <c r="H34" s="6">
        <v>0.39999999999999997</v>
      </c>
      <c r="I34" s="6">
        <v>8.3333333333333329E-2</v>
      </c>
      <c r="J34" s="2">
        <v>107.9600730002594</v>
      </c>
      <c r="K34" s="3">
        <v>1.6730793138941116</v>
      </c>
      <c r="L34" s="3">
        <v>0.1763758727316557</v>
      </c>
    </row>
    <row r="35" spans="1:12" ht="15.75" x14ac:dyDescent="0.2">
      <c r="A35" s="14"/>
      <c r="B35" s="1" t="s">
        <v>19</v>
      </c>
      <c r="C35" s="6">
        <v>15.17</v>
      </c>
      <c r="D35" s="6">
        <v>7.2</v>
      </c>
      <c r="E35" s="6">
        <v>0.79120000000000001</v>
      </c>
      <c r="F35" s="6">
        <v>12</v>
      </c>
      <c r="G35" s="6">
        <v>1.68</v>
      </c>
      <c r="H35" s="6">
        <v>0.39999999999999997</v>
      </c>
      <c r="I35" s="6">
        <v>13.833333333333334</v>
      </c>
      <c r="J35" s="2">
        <v>51.005447175069683</v>
      </c>
      <c r="K35" s="3">
        <v>0.8379452748923234</v>
      </c>
      <c r="L35" s="3">
        <v>0.11203737015454775</v>
      </c>
    </row>
    <row r="36" spans="1:12" ht="15.75" x14ac:dyDescent="0.2">
      <c r="A36" s="14"/>
      <c r="B36" s="1" t="s">
        <v>20</v>
      </c>
      <c r="C36" s="6">
        <v>0.75</v>
      </c>
      <c r="D36" s="6">
        <v>19.2</v>
      </c>
      <c r="E36" s="6">
        <v>9.0670000000000002</v>
      </c>
      <c r="F36" s="6">
        <v>6.8</v>
      </c>
      <c r="G36" s="6">
        <v>2.11</v>
      </c>
      <c r="H36" s="6">
        <v>6.3999999999999995</v>
      </c>
      <c r="I36" s="6">
        <v>8.3333333333333329E-2</v>
      </c>
      <c r="J36" s="2">
        <v>206.8959789604817</v>
      </c>
      <c r="K36" s="3">
        <v>1.1036400442937229</v>
      </c>
      <c r="L36" s="3">
        <v>0.32498525849539761</v>
      </c>
    </row>
    <row r="37" spans="1:12" ht="15.75" x14ac:dyDescent="0.2">
      <c r="A37" s="14"/>
      <c r="B37" s="1" t="s">
        <v>21</v>
      </c>
      <c r="C37" s="6">
        <v>1.6</v>
      </c>
      <c r="D37" s="6">
        <v>24</v>
      </c>
      <c r="E37" s="6">
        <v>4.5999999999999996</v>
      </c>
      <c r="F37" s="6">
        <v>7.4</v>
      </c>
      <c r="G37" s="6">
        <v>1.67</v>
      </c>
      <c r="H37" s="6">
        <v>5.3999999999999995</v>
      </c>
      <c r="I37" s="6">
        <v>0.41666666666666669</v>
      </c>
      <c r="J37" s="2">
        <v>181.02616970658207</v>
      </c>
      <c r="K37" s="3">
        <v>1.6224530795664818</v>
      </c>
      <c r="L37" s="3">
        <v>0.21647898493259318</v>
      </c>
    </row>
    <row r="38" spans="1:12" ht="15.75" x14ac:dyDescent="0.2">
      <c r="A38" s="14"/>
      <c r="B38" s="1" t="s">
        <v>22</v>
      </c>
      <c r="C38" s="6">
        <v>29.58</v>
      </c>
      <c r="D38" s="6">
        <v>4.8</v>
      </c>
      <c r="E38" s="6">
        <v>0.5746</v>
      </c>
      <c r="F38" s="6">
        <v>17</v>
      </c>
      <c r="G38" s="6">
        <v>8.41</v>
      </c>
      <c r="H38" s="6">
        <v>0.6</v>
      </c>
      <c r="I38" s="6">
        <v>9.9166666666666661</v>
      </c>
      <c r="J38" s="2">
        <v>23.568355647125255</v>
      </c>
      <c r="K38" s="3">
        <v>0.97791998495981547</v>
      </c>
      <c r="L38" s="3">
        <v>0.10080107241064469</v>
      </c>
    </row>
    <row r="39" spans="1:12" ht="15.75" x14ac:dyDescent="0.2">
      <c r="A39" s="14"/>
      <c r="B39" s="1" t="s">
        <v>23</v>
      </c>
      <c r="C39" s="6">
        <v>7</v>
      </c>
      <c r="D39" s="6">
        <v>9.6</v>
      </c>
      <c r="E39" s="6">
        <v>2.2570000000000001</v>
      </c>
      <c r="F39" s="6">
        <v>15.8</v>
      </c>
      <c r="G39" s="6">
        <v>8.42</v>
      </c>
      <c r="H39" s="6">
        <v>1</v>
      </c>
      <c r="I39" s="6">
        <v>0.58333333333333337</v>
      </c>
      <c r="J39" s="2">
        <v>47.47531714032845</v>
      </c>
      <c r="K39" s="3">
        <v>1.0595412528272201</v>
      </c>
      <c r="L39" s="3">
        <v>0.141724751696332</v>
      </c>
    </row>
    <row r="40" spans="1:12" ht="15.75" x14ac:dyDescent="0.2">
      <c r="A40" s="14" t="s">
        <v>61</v>
      </c>
      <c r="B40" s="1" t="s">
        <v>52</v>
      </c>
      <c r="C40" s="6">
        <v>4.1900000000000004</v>
      </c>
      <c r="D40" s="6">
        <v>91.2</v>
      </c>
      <c r="E40" s="6">
        <v>11.78</v>
      </c>
      <c r="F40" s="6">
        <v>49.4</v>
      </c>
      <c r="G40" s="6">
        <v>5.76</v>
      </c>
      <c r="H40" s="6">
        <v>12</v>
      </c>
      <c r="I40" s="6">
        <v>0.75</v>
      </c>
      <c r="J40" s="2">
        <v>169.08798440165734</v>
      </c>
      <c r="K40" s="3">
        <v>1.9912893005118206</v>
      </c>
      <c r="L40" s="3">
        <v>0.38623714355349736</v>
      </c>
    </row>
    <row r="41" spans="1:12" ht="15.75" x14ac:dyDescent="0.2">
      <c r="A41" s="14"/>
      <c r="B41" s="1" t="s">
        <v>53</v>
      </c>
      <c r="C41" s="6">
        <v>2.5099999999999998</v>
      </c>
      <c r="D41" s="6">
        <v>4.8</v>
      </c>
      <c r="E41" s="6">
        <v>2.23</v>
      </c>
      <c r="F41" s="6">
        <v>5.6</v>
      </c>
      <c r="G41" s="6">
        <v>3.49</v>
      </c>
      <c r="H41" s="6">
        <v>1.2</v>
      </c>
      <c r="I41" s="6">
        <v>0.25</v>
      </c>
      <c r="J41" s="2">
        <v>121.34555523171086</v>
      </c>
      <c r="K41" s="3">
        <v>3.1689769746429612</v>
      </c>
      <c r="L41" s="3">
        <v>9.0212474497231118E-2</v>
      </c>
    </row>
    <row r="42" spans="1:12" ht="15.75" x14ac:dyDescent="0.2">
      <c r="A42" s="14"/>
      <c r="B42" s="1" t="s">
        <v>54</v>
      </c>
      <c r="C42" s="6">
        <v>0.33</v>
      </c>
      <c r="D42" s="6">
        <v>48</v>
      </c>
      <c r="E42" s="6">
        <v>16.2</v>
      </c>
      <c r="F42" s="6">
        <v>7.6</v>
      </c>
      <c r="G42" s="6">
        <v>7.6</v>
      </c>
      <c r="H42" s="6">
        <v>5.3999999999999995</v>
      </c>
      <c r="I42" s="6">
        <v>0.25</v>
      </c>
      <c r="J42" s="2">
        <v>345.68409662105552</v>
      </c>
      <c r="K42" s="3">
        <v>3.7415296006702037</v>
      </c>
      <c r="L42" s="3">
        <v>0.5849898771292934</v>
      </c>
    </row>
    <row r="43" spans="1:12" ht="15.75" x14ac:dyDescent="0.2">
      <c r="A43" s="14"/>
      <c r="B43" s="1" t="s">
        <v>55</v>
      </c>
      <c r="C43" s="6">
        <v>0.7</v>
      </c>
      <c r="D43" s="6">
        <v>153.6</v>
      </c>
      <c r="E43" s="6">
        <v>37.33</v>
      </c>
      <c r="F43" s="6">
        <v>28</v>
      </c>
      <c r="G43" s="6">
        <v>9.83</v>
      </c>
      <c r="H43" s="6">
        <v>27.400000000000002</v>
      </c>
      <c r="I43" s="6">
        <v>0.16666666666666666</v>
      </c>
      <c r="J43" s="2">
        <v>325.7417206938847</v>
      </c>
      <c r="K43" s="3">
        <v>1.8529192220080604</v>
      </c>
      <c r="L43" s="3">
        <v>0.38002277904328019</v>
      </c>
    </row>
    <row r="44" spans="1:12" ht="15.75" x14ac:dyDescent="0.2">
      <c r="A44" s="14"/>
      <c r="B44" s="1" t="s">
        <v>56</v>
      </c>
      <c r="C44" s="6">
        <v>1.5</v>
      </c>
      <c r="D44" s="6">
        <v>19.2</v>
      </c>
      <c r="E44" s="6">
        <v>8.3810000000000002</v>
      </c>
      <c r="F44" s="6">
        <v>12.57</v>
      </c>
      <c r="G44" s="6">
        <v>21.95</v>
      </c>
      <c r="H44" s="6">
        <v>4.3999999999999995</v>
      </c>
      <c r="I44" s="6">
        <v>0.91666666666666663</v>
      </c>
      <c r="J44" s="2">
        <v>237.59395032492975</v>
      </c>
      <c r="K44" s="3">
        <v>3.1687895844612775</v>
      </c>
      <c r="L44" s="3">
        <v>0.45484166215488997</v>
      </c>
    </row>
    <row r="45" spans="1:12" ht="15.75" x14ac:dyDescent="0.2">
      <c r="A45" s="14"/>
      <c r="B45" s="1" t="s">
        <v>57</v>
      </c>
      <c r="C45" s="6">
        <v>14.6</v>
      </c>
      <c r="D45" s="6">
        <v>4.8</v>
      </c>
      <c r="E45" s="6">
        <v>0.85029999999999994</v>
      </c>
      <c r="F45" s="6">
        <v>12.4</v>
      </c>
      <c r="G45" s="6">
        <v>2.79</v>
      </c>
      <c r="H45" s="6">
        <v>1.2</v>
      </c>
      <c r="I45" s="6">
        <v>0.16666666666666666</v>
      </c>
      <c r="J45" s="2">
        <v>71.616054524801214</v>
      </c>
      <c r="K45" s="3">
        <v>1.5538243089738737</v>
      </c>
      <c r="L45" s="3">
        <v>3.6834343051874295E-2</v>
      </c>
    </row>
    <row r="46" spans="1:12" ht="15.75" x14ac:dyDescent="0.2">
      <c r="A46" s="14"/>
      <c r="B46" s="1" t="s">
        <v>25</v>
      </c>
      <c r="C46" s="6">
        <v>34.5</v>
      </c>
      <c r="D46" s="6">
        <v>4.8</v>
      </c>
      <c r="E46" s="6">
        <v>0.38840000000000002</v>
      </c>
      <c r="F46" s="6">
        <v>13.4</v>
      </c>
      <c r="G46" s="6">
        <v>7.08</v>
      </c>
      <c r="H46" s="6">
        <v>0.39999999999999997</v>
      </c>
      <c r="I46" s="6">
        <v>7.166666666666667</v>
      </c>
      <c r="J46" s="2">
        <v>175</v>
      </c>
      <c r="K46" s="3">
        <v>1.17707324840764</v>
      </c>
      <c r="L46" s="3">
        <v>0.29366624203821651</v>
      </c>
    </row>
    <row r="47" spans="1:12" ht="15.75" x14ac:dyDescent="0.2">
      <c r="A47" s="14"/>
      <c r="B47" s="1" t="s">
        <v>26</v>
      </c>
      <c r="C47" s="6">
        <v>1.33</v>
      </c>
      <c r="D47" s="6">
        <v>19.2</v>
      </c>
      <c r="E47" s="6">
        <v>6.75</v>
      </c>
      <c r="F47" s="6">
        <v>9</v>
      </c>
      <c r="G47" s="6">
        <v>10.38</v>
      </c>
      <c r="H47" s="6">
        <v>3.1999999999999997</v>
      </c>
      <c r="I47" s="6">
        <v>0.5</v>
      </c>
      <c r="J47" s="2">
        <v>588.83819812676552</v>
      </c>
      <c r="K47" s="3">
        <v>2.3560062441151688</v>
      </c>
      <c r="L47" s="3">
        <v>0.58052247385896216</v>
      </c>
    </row>
    <row r="48" spans="1:12" ht="15.75" x14ac:dyDescent="0.2">
      <c r="A48" s="14"/>
      <c r="B48" s="1" t="s">
        <v>27</v>
      </c>
      <c r="C48" s="6">
        <v>15.67</v>
      </c>
      <c r="D48" s="6">
        <v>4.8</v>
      </c>
      <c r="E48" s="6">
        <v>0.88090000000000002</v>
      </c>
      <c r="F48" s="6">
        <v>13.8</v>
      </c>
      <c r="G48" s="6">
        <v>1.66</v>
      </c>
      <c r="H48" s="6">
        <v>0.39999999999999997</v>
      </c>
      <c r="I48" s="6">
        <v>13</v>
      </c>
      <c r="J48" s="2">
        <v>125.51104734576759</v>
      </c>
      <c r="K48" s="3">
        <v>0.93180344332855103</v>
      </c>
      <c r="L48" s="3">
        <v>0.22198637015781925</v>
      </c>
    </row>
    <row r="49" spans="1:12" ht="15.75" x14ac:dyDescent="0.2">
      <c r="A49" s="14"/>
      <c r="B49" s="1" t="s">
        <v>28</v>
      </c>
      <c r="C49" s="6">
        <v>1.33</v>
      </c>
      <c r="D49" s="6">
        <v>7.2</v>
      </c>
      <c r="E49" s="6">
        <v>4.2</v>
      </c>
      <c r="F49" s="6">
        <v>6.6</v>
      </c>
      <c r="G49" s="6">
        <v>2.1</v>
      </c>
      <c r="H49" s="6">
        <v>0.39999999999999997</v>
      </c>
      <c r="I49" s="6">
        <v>0.58333333333333337</v>
      </c>
      <c r="J49" s="2">
        <v>312.52938803973302</v>
      </c>
      <c r="K49" s="3">
        <v>1.0254280857486857</v>
      </c>
      <c r="L49" s="3">
        <v>0.34185980177932224</v>
      </c>
    </row>
    <row r="50" spans="1:12" ht="15.75" x14ac:dyDescent="0.2">
      <c r="A50" s="14"/>
      <c r="B50" s="1" t="s">
        <v>29</v>
      </c>
      <c r="C50" s="6">
        <v>1.25</v>
      </c>
      <c r="D50" s="6">
        <v>38.4</v>
      </c>
      <c r="E50" s="6">
        <v>29.92</v>
      </c>
      <c r="F50" s="6">
        <v>44.2</v>
      </c>
      <c r="G50" s="6">
        <v>3.24</v>
      </c>
      <c r="H50" s="6">
        <v>1.5999999999999999</v>
      </c>
      <c r="I50" s="6">
        <v>17</v>
      </c>
      <c r="J50" s="2">
        <v>593</v>
      </c>
      <c r="K50" s="3">
        <v>2.5</v>
      </c>
      <c r="L50" s="3">
        <v>0.61</v>
      </c>
    </row>
    <row r="51" spans="1:12" ht="15.75" x14ac:dyDescent="0.2">
      <c r="A51" s="14"/>
      <c r="B51" s="1" t="s">
        <v>30</v>
      </c>
      <c r="C51" s="6">
        <v>1</v>
      </c>
      <c r="D51" s="6">
        <v>16.8</v>
      </c>
      <c r="E51" s="6">
        <v>4.79</v>
      </c>
      <c r="F51" s="6">
        <v>4.8</v>
      </c>
      <c r="G51" s="6">
        <v>1.45</v>
      </c>
      <c r="H51" s="6">
        <v>3.1999999999999997</v>
      </c>
      <c r="I51" s="6">
        <v>0.16666666666666666</v>
      </c>
      <c r="J51" s="2">
        <v>157.72147769978017</v>
      </c>
      <c r="K51" s="3">
        <v>2.0885265546337655</v>
      </c>
      <c r="L51" s="3">
        <v>0.22172147769978018</v>
      </c>
    </row>
    <row r="52" spans="1:12" ht="15.75" x14ac:dyDescent="0.2">
      <c r="A52" s="14"/>
      <c r="B52" s="1" t="s">
        <v>31</v>
      </c>
      <c r="C52" s="6">
        <v>1.17</v>
      </c>
      <c r="D52" s="6">
        <v>48</v>
      </c>
      <c r="E52" s="6">
        <v>6.8570000000000002</v>
      </c>
      <c r="F52" s="6">
        <v>8</v>
      </c>
      <c r="G52" s="6">
        <v>16.72</v>
      </c>
      <c r="H52" s="6">
        <v>7.3999999999999995</v>
      </c>
      <c r="I52" s="6">
        <v>0.25</v>
      </c>
      <c r="J52" s="2">
        <v>500.03598526866938</v>
      </c>
      <c r="K52" s="3">
        <v>2.1288068509562059</v>
      </c>
      <c r="L52" s="3">
        <v>0.42733050095398684</v>
      </c>
    </row>
    <row r="53" spans="1:12" ht="15.75" x14ac:dyDescent="0.2">
      <c r="A53" s="14"/>
      <c r="B53" s="1" t="s">
        <v>32</v>
      </c>
      <c r="C53" s="6">
        <v>1.2</v>
      </c>
      <c r="D53" s="6">
        <v>26.4</v>
      </c>
      <c r="E53" s="6">
        <v>4.78</v>
      </c>
      <c r="F53" s="6">
        <v>5.6</v>
      </c>
      <c r="G53" s="6">
        <v>2.79</v>
      </c>
      <c r="H53" s="6">
        <v>4.3999999999999995</v>
      </c>
      <c r="I53" s="6">
        <v>0.16666666666666666</v>
      </c>
      <c r="J53" s="2">
        <v>184.20077858880776</v>
      </c>
      <c r="K53" s="3">
        <v>1.1707523114355229</v>
      </c>
      <c r="L53" s="3">
        <v>0.22790082725060826</v>
      </c>
    </row>
    <row r="54" spans="1:12" ht="15.75" x14ac:dyDescent="0.2">
      <c r="A54" s="14"/>
      <c r="B54" s="1" t="s">
        <v>33</v>
      </c>
      <c r="C54" s="6">
        <v>3.3</v>
      </c>
      <c r="D54" s="6">
        <v>16.8</v>
      </c>
      <c r="E54" s="6">
        <v>2.33</v>
      </c>
      <c r="F54" s="6">
        <v>7.6</v>
      </c>
      <c r="G54" s="6">
        <v>6.41</v>
      </c>
      <c r="H54" s="6">
        <v>2.8000000000000003</v>
      </c>
      <c r="I54" s="6">
        <v>0.16666666666666666</v>
      </c>
      <c r="J54" s="2">
        <v>91.665981175353906</v>
      </c>
      <c r="K54" s="3">
        <v>1.8485122202009017</v>
      </c>
      <c r="L54" s="3">
        <v>0.1270655698805663</v>
      </c>
    </row>
    <row r="55" spans="1:12" ht="15.75" x14ac:dyDescent="0.2">
      <c r="A55" s="14"/>
      <c r="B55" s="1" t="s">
        <v>34</v>
      </c>
      <c r="C55" s="6">
        <v>6.9</v>
      </c>
      <c r="D55" s="6">
        <v>9.6</v>
      </c>
      <c r="E55" s="6">
        <v>2.76</v>
      </c>
      <c r="F55" s="6">
        <v>19</v>
      </c>
      <c r="G55" s="6">
        <v>6.53</v>
      </c>
      <c r="H55" s="6">
        <v>1.8</v>
      </c>
      <c r="I55" s="6">
        <v>2.6666666666666665</v>
      </c>
      <c r="J55" s="2">
        <v>43.797210300429185</v>
      </c>
      <c r="K55" s="3">
        <v>0.7201824034334765</v>
      </c>
      <c r="L55" s="3">
        <v>8.5740343347639483E-2</v>
      </c>
    </row>
    <row r="56" spans="1:12" ht="15.75" x14ac:dyDescent="0.2">
      <c r="A56" s="14"/>
      <c r="B56" s="1" t="s">
        <v>35</v>
      </c>
      <c r="C56" s="6">
        <v>27.67</v>
      </c>
      <c r="D56" s="6">
        <v>4.8</v>
      </c>
      <c r="E56" s="6">
        <v>0.61450000000000005</v>
      </c>
      <c r="F56" s="6">
        <v>17</v>
      </c>
      <c r="G56" s="6">
        <v>8.4</v>
      </c>
      <c r="H56" s="6">
        <v>0.6</v>
      </c>
      <c r="I56" s="6">
        <v>9.9166666666666661</v>
      </c>
      <c r="J56" s="2">
        <v>28.379425228891147</v>
      </c>
      <c r="K56" s="3">
        <v>1.0643056968463886</v>
      </c>
      <c r="L56" s="3">
        <v>0.10603496948118006</v>
      </c>
    </row>
    <row r="57" spans="1:12" ht="15.75" x14ac:dyDescent="0.2">
      <c r="A57" s="14"/>
      <c r="B57" s="1" t="s">
        <v>36</v>
      </c>
      <c r="C57" s="6">
        <v>5.08</v>
      </c>
      <c r="D57" s="6">
        <v>9.6</v>
      </c>
      <c r="E57" s="6">
        <v>3.03</v>
      </c>
      <c r="F57" s="6">
        <v>15.4</v>
      </c>
      <c r="G57" s="6">
        <v>8.4700000000000006</v>
      </c>
      <c r="H57" s="6">
        <v>3.4</v>
      </c>
      <c r="I57" s="6">
        <v>0.58333333333333337</v>
      </c>
      <c r="J57" s="2">
        <v>47.909594726562503</v>
      </c>
      <c r="K57" s="3">
        <v>0.90379565429687503</v>
      </c>
      <c r="L57" s="3">
        <v>0.13679467773437498</v>
      </c>
    </row>
  </sheetData>
  <mergeCells count="4">
    <mergeCell ref="A2:A14"/>
    <mergeCell ref="A15:A28"/>
    <mergeCell ref="A29:A39"/>
    <mergeCell ref="A40:A5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28F1-9664-4EA1-AD35-D84196C229D0}">
  <dimension ref="A1:K66"/>
  <sheetViews>
    <sheetView tabSelected="1" zoomScale="145" zoomScaleNormal="145" workbookViewId="0">
      <selection activeCell="O11" sqref="O11"/>
    </sheetView>
  </sheetViews>
  <sheetFormatPr defaultRowHeight="14.25" x14ac:dyDescent="0.2"/>
  <cols>
    <col min="2" max="2" width="13.5" style="18" bestFit="1" customWidth="1"/>
    <col min="3" max="3" width="6.75" bestFit="1" customWidth="1"/>
    <col min="4" max="4" width="13.375" style="8" bestFit="1" customWidth="1"/>
    <col min="5" max="5" width="13" style="8" bestFit="1" customWidth="1"/>
    <col min="6" max="6" width="8.25" style="8" bestFit="1" customWidth="1"/>
    <col min="7" max="7" width="10.25" style="8" bestFit="1" customWidth="1"/>
    <col min="8" max="8" width="10.875" style="8" bestFit="1" customWidth="1"/>
    <col min="9" max="9" width="10.75" style="8" bestFit="1" customWidth="1"/>
    <col min="10" max="10" width="8.625" style="8"/>
    <col min="11" max="11" width="15.375" bestFit="1" customWidth="1"/>
  </cols>
  <sheetData>
    <row r="1" spans="1:11" ht="15.75" x14ac:dyDescent="0.25">
      <c r="A1" s="9" t="s">
        <v>72</v>
      </c>
      <c r="B1" s="15" t="s">
        <v>0</v>
      </c>
      <c r="C1" s="6" t="s">
        <v>62</v>
      </c>
      <c r="D1" s="6" t="s">
        <v>63</v>
      </c>
      <c r="E1" s="7" t="s">
        <v>64</v>
      </c>
      <c r="F1" s="7" t="s">
        <v>65</v>
      </c>
      <c r="G1" s="6" t="s">
        <v>66</v>
      </c>
      <c r="H1" s="7" t="s">
        <v>67</v>
      </c>
      <c r="I1" s="7" t="s">
        <v>68</v>
      </c>
    </row>
    <row r="2" spans="1:11" ht="15" x14ac:dyDescent="0.2">
      <c r="A2" s="14" t="s">
        <v>1</v>
      </c>
      <c r="B2" s="16">
        <v>43274.208333333336</v>
      </c>
      <c r="C2" s="6">
        <v>7.43</v>
      </c>
      <c r="D2" s="6">
        <v>19.2</v>
      </c>
      <c r="E2" s="6">
        <f>F2/C2</f>
        <v>4.6029609690444149</v>
      </c>
      <c r="F2" s="6">
        <v>34.200000000000003</v>
      </c>
      <c r="G2" s="6">
        <v>5.88</v>
      </c>
      <c r="H2" s="6">
        <v>3.4</v>
      </c>
      <c r="I2" s="6">
        <v>0.5</v>
      </c>
      <c r="K2" s="10"/>
    </row>
    <row r="3" spans="1:11" ht="15" x14ac:dyDescent="0.2">
      <c r="A3" s="14"/>
      <c r="B3" s="16">
        <v>43294.954861111109</v>
      </c>
      <c r="C3" s="6">
        <v>6.1</v>
      </c>
      <c r="D3" s="6">
        <v>7.2</v>
      </c>
      <c r="E3" s="6">
        <f t="shared" ref="E3:E66" si="0">F3/C3</f>
        <v>0.45901639344262296</v>
      </c>
      <c r="F3" s="6">
        <v>2.8</v>
      </c>
      <c r="G3" s="6">
        <v>3.13</v>
      </c>
      <c r="H3" s="6">
        <v>0.6</v>
      </c>
      <c r="I3" s="6">
        <v>0</v>
      </c>
      <c r="K3" s="10"/>
    </row>
    <row r="4" spans="1:11" ht="15" x14ac:dyDescent="0.2">
      <c r="A4" s="14"/>
      <c r="B4" s="16">
        <v>43299.520833333336</v>
      </c>
      <c r="C4" s="6">
        <v>0.83299999999999996</v>
      </c>
      <c r="D4" s="6">
        <v>16.8</v>
      </c>
      <c r="E4" s="6">
        <f t="shared" si="0"/>
        <v>3.8415366146458587</v>
      </c>
      <c r="F4" s="6">
        <v>3.2</v>
      </c>
      <c r="G4" s="6">
        <v>4.5</v>
      </c>
      <c r="H4" s="6">
        <v>0.4</v>
      </c>
      <c r="I4" s="6">
        <v>0.75</v>
      </c>
      <c r="K4" s="10"/>
    </row>
    <row r="5" spans="1:11" ht="15" x14ac:dyDescent="0.2">
      <c r="A5" s="14"/>
      <c r="B5" s="16">
        <v>43304.659722222219</v>
      </c>
      <c r="C5" s="6">
        <v>0.75</v>
      </c>
      <c r="D5" s="6">
        <v>28.8</v>
      </c>
      <c r="E5" s="6">
        <f t="shared" si="0"/>
        <v>10.933333333333332</v>
      </c>
      <c r="F5" s="6">
        <v>8.1999999999999993</v>
      </c>
      <c r="G5" s="6">
        <v>4.55</v>
      </c>
      <c r="H5" s="6">
        <v>8</v>
      </c>
      <c r="I5" s="6">
        <v>0.17</v>
      </c>
      <c r="K5" s="10"/>
    </row>
    <row r="6" spans="1:11" ht="15" x14ac:dyDescent="0.2">
      <c r="A6" s="14"/>
      <c r="B6" s="16">
        <v>43306.802083333336</v>
      </c>
      <c r="C6" s="6">
        <v>2.8</v>
      </c>
      <c r="D6" s="6">
        <v>19.2</v>
      </c>
      <c r="E6" s="6">
        <f t="shared" si="0"/>
        <v>0.7142857142857143</v>
      </c>
      <c r="F6" s="6">
        <v>2</v>
      </c>
      <c r="G6" s="6">
        <v>1.2749999999999999</v>
      </c>
      <c r="H6" s="6">
        <v>0.2</v>
      </c>
      <c r="I6" s="6">
        <v>2.1</v>
      </c>
      <c r="K6" s="10"/>
    </row>
    <row r="7" spans="1:11" ht="15" x14ac:dyDescent="0.2">
      <c r="A7" s="14"/>
      <c r="B7" s="16">
        <v>43313.333333333336</v>
      </c>
      <c r="C7" s="6">
        <v>4.68</v>
      </c>
      <c r="D7" s="6">
        <v>26.4</v>
      </c>
      <c r="E7" s="6">
        <f t="shared" si="0"/>
        <v>1.2393162393162394</v>
      </c>
      <c r="F7" s="6">
        <v>5.8</v>
      </c>
      <c r="G7" s="6">
        <v>6.5</v>
      </c>
      <c r="H7" s="6">
        <v>1.6</v>
      </c>
      <c r="I7" s="6">
        <v>0.5</v>
      </c>
      <c r="K7" s="10"/>
    </row>
    <row r="8" spans="1:11" ht="15" x14ac:dyDescent="0.2">
      <c r="A8" s="14"/>
      <c r="B8" s="16">
        <v>43315.666666666664</v>
      </c>
      <c r="C8" s="6">
        <v>3.84</v>
      </c>
      <c r="D8" s="6">
        <v>12</v>
      </c>
      <c r="E8" s="6">
        <f t="shared" si="0"/>
        <v>1.8229166666666667</v>
      </c>
      <c r="F8" s="6">
        <v>7</v>
      </c>
      <c r="G8" s="6">
        <v>0.5</v>
      </c>
      <c r="H8" s="6">
        <v>1.8</v>
      </c>
      <c r="I8" s="6">
        <v>8.3000000000000004E-2</v>
      </c>
      <c r="K8" s="10"/>
    </row>
    <row r="9" spans="1:11" ht="15" x14ac:dyDescent="0.2">
      <c r="A9" s="14"/>
      <c r="B9" s="16">
        <v>43324.409722222219</v>
      </c>
      <c r="C9" s="6">
        <v>2.34</v>
      </c>
      <c r="D9" s="6">
        <v>28.8</v>
      </c>
      <c r="E9" s="6">
        <f t="shared" si="0"/>
        <v>2.3931623931623931</v>
      </c>
      <c r="F9" s="6">
        <v>5.6</v>
      </c>
      <c r="G9" s="6">
        <v>7.9</v>
      </c>
      <c r="H9" s="6">
        <v>5.4</v>
      </c>
      <c r="I9" s="6">
        <v>8.3000000000000004E-2</v>
      </c>
      <c r="K9" s="10"/>
    </row>
    <row r="10" spans="1:11" ht="15" x14ac:dyDescent="0.2">
      <c r="A10" s="14"/>
      <c r="B10" s="16">
        <v>43346.197916666664</v>
      </c>
      <c r="C10" s="6">
        <v>1.25</v>
      </c>
      <c r="D10" s="6">
        <v>7.2</v>
      </c>
      <c r="E10" s="6">
        <f t="shared" si="0"/>
        <v>2.4</v>
      </c>
      <c r="F10" s="6">
        <v>3</v>
      </c>
      <c r="G10" s="6">
        <v>7.17</v>
      </c>
      <c r="H10" s="6">
        <v>0.8</v>
      </c>
      <c r="I10" s="6">
        <v>0.83</v>
      </c>
      <c r="K10" s="10"/>
    </row>
    <row r="11" spans="1:11" ht="15" x14ac:dyDescent="0.2">
      <c r="A11" s="14"/>
      <c r="B11" s="16">
        <v>43369.951388888891</v>
      </c>
      <c r="C11" s="6">
        <v>15.5</v>
      </c>
      <c r="D11" s="6">
        <v>7.2</v>
      </c>
      <c r="E11" s="6">
        <f t="shared" si="0"/>
        <v>0.74838709677419357</v>
      </c>
      <c r="F11" s="6">
        <v>11.6</v>
      </c>
      <c r="G11" s="6">
        <v>0.88</v>
      </c>
      <c r="H11" s="6">
        <v>1.2</v>
      </c>
      <c r="I11" s="6">
        <v>11.8</v>
      </c>
      <c r="K11" s="10"/>
    </row>
    <row r="12" spans="1:11" ht="15" x14ac:dyDescent="0.2">
      <c r="A12" s="14"/>
      <c r="B12" s="17">
        <v>43587.746527777781</v>
      </c>
      <c r="C12" s="6">
        <v>2.5</v>
      </c>
      <c r="D12" s="6">
        <v>7.2</v>
      </c>
      <c r="E12" s="6">
        <f t="shared" si="0"/>
        <v>2.2399999999999998</v>
      </c>
      <c r="F12" s="6">
        <v>5.6</v>
      </c>
      <c r="G12" s="6">
        <v>4.24</v>
      </c>
      <c r="H12" s="6">
        <v>0.8</v>
      </c>
      <c r="I12" s="6">
        <v>0.92</v>
      </c>
      <c r="K12" s="11"/>
    </row>
    <row r="13" spans="1:11" ht="15" x14ac:dyDescent="0.2">
      <c r="A13" s="14"/>
      <c r="B13" s="17">
        <v>43592.670138888891</v>
      </c>
      <c r="C13" s="6">
        <v>5.33</v>
      </c>
      <c r="D13" s="6">
        <v>7.2</v>
      </c>
      <c r="E13" s="6">
        <f t="shared" si="0"/>
        <v>0.7879924953095685</v>
      </c>
      <c r="F13" s="6">
        <v>4.2</v>
      </c>
      <c r="G13" s="6">
        <v>0.5</v>
      </c>
      <c r="H13" s="6">
        <v>1.4</v>
      </c>
      <c r="I13" s="6">
        <v>8.3000000000000004E-2</v>
      </c>
      <c r="K13" s="11"/>
    </row>
    <row r="14" spans="1:11" ht="15" x14ac:dyDescent="0.2">
      <c r="A14" s="14"/>
      <c r="B14" s="17">
        <v>43622.885416666664</v>
      </c>
      <c r="C14" s="6">
        <v>22.2</v>
      </c>
      <c r="D14" s="6">
        <v>7.2</v>
      </c>
      <c r="E14" s="6">
        <f t="shared" si="0"/>
        <v>0.84684684684684686</v>
      </c>
      <c r="F14" s="6">
        <v>18.8</v>
      </c>
      <c r="G14" s="6">
        <v>12</v>
      </c>
      <c r="H14" s="6">
        <v>1.2</v>
      </c>
      <c r="I14" s="6">
        <v>0.67</v>
      </c>
      <c r="K14" s="11"/>
    </row>
    <row r="15" spans="1:11" ht="15" x14ac:dyDescent="0.2">
      <c r="A15" s="14"/>
      <c r="B15" s="17">
        <v>43624.8125</v>
      </c>
      <c r="C15" s="6">
        <v>3</v>
      </c>
      <c r="D15" s="6">
        <v>12</v>
      </c>
      <c r="E15" s="6">
        <f t="shared" si="0"/>
        <v>2.3333333333333335</v>
      </c>
      <c r="F15" s="6">
        <v>7</v>
      </c>
      <c r="G15" s="6">
        <v>0.75</v>
      </c>
      <c r="H15" s="6">
        <v>3.8</v>
      </c>
      <c r="I15" s="6">
        <v>0.25</v>
      </c>
      <c r="K15" s="11"/>
    </row>
    <row r="16" spans="1:11" ht="15" x14ac:dyDescent="0.2">
      <c r="A16" s="14"/>
      <c r="B16" s="17">
        <v>43632</v>
      </c>
      <c r="C16" s="6">
        <v>0.83</v>
      </c>
      <c r="D16" s="6">
        <v>9.6</v>
      </c>
      <c r="E16" s="6">
        <f t="shared" si="0"/>
        <v>4.3373493975903621</v>
      </c>
      <c r="F16" s="6">
        <v>3.6</v>
      </c>
      <c r="G16" s="6">
        <v>0.42</v>
      </c>
      <c r="H16" s="6">
        <v>3</v>
      </c>
      <c r="I16" s="6">
        <v>0.17</v>
      </c>
      <c r="K16" s="11"/>
    </row>
    <row r="17" spans="1:11" ht="15" x14ac:dyDescent="0.2">
      <c r="A17" s="14"/>
      <c r="B17" s="17">
        <v>43652.704861111109</v>
      </c>
      <c r="C17" s="6">
        <v>0.75</v>
      </c>
      <c r="D17" s="6">
        <v>12</v>
      </c>
      <c r="E17" s="6">
        <f t="shared" si="0"/>
        <v>5.8666666666666671</v>
      </c>
      <c r="F17" s="6">
        <v>4.4000000000000004</v>
      </c>
      <c r="G17" s="6">
        <v>1.375</v>
      </c>
      <c r="H17" s="6">
        <v>4</v>
      </c>
      <c r="I17" s="6">
        <v>0.33</v>
      </c>
      <c r="K17" s="11"/>
    </row>
    <row r="18" spans="1:11" ht="15" x14ac:dyDescent="0.2">
      <c r="A18" s="14"/>
      <c r="B18" s="17">
        <v>43653.791666666664</v>
      </c>
      <c r="C18" s="6">
        <v>0.33</v>
      </c>
      <c r="D18" s="6">
        <v>31.2</v>
      </c>
      <c r="E18" s="6">
        <f t="shared" si="0"/>
        <v>22.424242424242426</v>
      </c>
      <c r="F18" s="6">
        <v>7.4</v>
      </c>
      <c r="G18" s="6">
        <v>1.04</v>
      </c>
      <c r="H18" s="6">
        <v>7.4</v>
      </c>
      <c r="I18" s="6">
        <v>0</v>
      </c>
      <c r="K18" s="11"/>
    </row>
    <row r="19" spans="1:11" ht="15" x14ac:dyDescent="0.2">
      <c r="A19" s="14"/>
      <c r="B19" s="17">
        <v>43655.979166666664</v>
      </c>
      <c r="C19" s="6">
        <v>0.5</v>
      </c>
      <c r="D19" s="6">
        <v>14.4</v>
      </c>
      <c r="E19" s="6">
        <f t="shared" si="0"/>
        <v>8</v>
      </c>
      <c r="F19" s="6">
        <v>4</v>
      </c>
      <c r="G19" s="6">
        <v>2.17</v>
      </c>
      <c r="H19" s="6">
        <v>4</v>
      </c>
      <c r="I19" s="6">
        <f>1/6</f>
        <v>0.16666666666666666</v>
      </c>
      <c r="K19" s="11"/>
    </row>
    <row r="20" spans="1:11" ht="15" x14ac:dyDescent="0.2">
      <c r="A20" s="14"/>
      <c r="B20" s="17">
        <v>43664.604166666664</v>
      </c>
      <c r="C20" s="6">
        <v>5.26</v>
      </c>
      <c r="D20" s="6">
        <v>24</v>
      </c>
      <c r="E20" s="6">
        <f t="shared" si="0"/>
        <v>1.064638783269962</v>
      </c>
      <c r="F20" s="6">
        <v>5.6</v>
      </c>
      <c r="G20" s="6">
        <v>1</v>
      </c>
      <c r="H20" s="6">
        <v>4</v>
      </c>
      <c r="I20" s="6">
        <f>5/60</f>
        <v>8.3333333333333329E-2</v>
      </c>
      <c r="K20" s="11"/>
    </row>
    <row r="21" spans="1:11" ht="15" x14ac:dyDescent="0.2">
      <c r="A21" s="14"/>
      <c r="B21" s="17">
        <v>43666.309027777781</v>
      </c>
      <c r="C21" s="6">
        <v>21</v>
      </c>
      <c r="D21" s="6">
        <v>12</v>
      </c>
      <c r="E21" s="6">
        <f t="shared" si="0"/>
        <v>0.30476190476190479</v>
      </c>
      <c r="F21" s="6">
        <v>6.4</v>
      </c>
      <c r="G21" s="6">
        <v>1</v>
      </c>
      <c r="H21" s="6">
        <v>0.4</v>
      </c>
      <c r="I21" s="6">
        <v>17.88</v>
      </c>
      <c r="K21" s="11"/>
    </row>
    <row r="22" spans="1:11" ht="15" x14ac:dyDescent="0.2">
      <c r="A22" s="14"/>
      <c r="B22" s="17">
        <v>43702.729166666664</v>
      </c>
      <c r="C22" s="6">
        <v>1.8</v>
      </c>
      <c r="D22" s="6">
        <v>7.2</v>
      </c>
      <c r="E22" s="6">
        <f t="shared" si="0"/>
        <v>1.6666666666666665</v>
      </c>
      <c r="F22" s="6">
        <v>3</v>
      </c>
      <c r="G22" s="6">
        <v>2.69</v>
      </c>
      <c r="H22" s="6">
        <v>1.6</v>
      </c>
      <c r="I22" s="6">
        <v>0.57999999999999996</v>
      </c>
      <c r="K22" s="12"/>
    </row>
    <row r="23" spans="1:11" ht="15" x14ac:dyDescent="0.2">
      <c r="A23" s="14"/>
      <c r="B23" s="17">
        <v>43717.444444444445</v>
      </c>
      <c r="C23" s="6">
        <v>27</v>
      </c>
      <c r="D23" s="6">
        <v>14.4</v>
      </c>
      <c r="E23" s="6">
        <f t="shared" si="0"/>
        <v>0.79259259259259252</v>
      </c>
      <c r="F23" s="6">
        <v>21.4</v>
      </c>
      <c r="G23" s="6">
        <v>7.48</v>
      </c>
      <c r="H23" s="6">
        <v>0.2</v>
      </c>
      <c r="I23" s="6">
        <v>7.78</v>
      </c>
      <c r="K23" s="12"/>
    </row>
    <row r="24" spans="1:11" ht="15" x14ac:dyDescent="0.2">
      <c r="A24" s="14" t="s">
        <v>11</v>
      </c>
      <c r="B24" s="16">
        <v>43266.375</v>
      </c>
      <c r="C24" s="6">
        <v>1</v>
      </c>
      <c r="D24" s="6">
        <v>19.2</v>
      </c>
      <c r="E24" s="6">
        <f t="shared" si="0"/>
        <v>3.8</v>
      </c>
      <c r="F24" s="6">
        <v>3.8</v>
      </c>
      <c r="G24" s="6">
        <v>5.0999999999999996</v>
      </c>
      <c r="H24" s="6">
        <v>3</v>
      </c>
      <c r="I24" s="6">
        <f>2/6</f>
        <v>0.33333333333333331</v>
      </c>
      <c r="K24" s="13"/>
    </row>
    <row r="25" spans="1:11" ht="15" x14ac:dyDescent="0.2">
      <c r="A25" s="14"/>
      <c r="B25" s="16">
        <v>43267.354166666664</v>
      </c>
      <c r="C25" s="6">
        <v>3.6</v>
      </c>
      <c r="D25" s="6">
        <v>7.2</v>
      </c>
      <c r="E25" s="6">
        <f t="shared" si="0"/>
        <v>1.3888888888888888</v>
      </c>
      <c r="F25" s="6">
        <v>5</v>
      </c>
      <c r="G25" s="6">
        <v>0.92</v>
      </c>
      <c r="H25" s="6">
        <v>1.2</v>
      </c>
      <c r="I25" s="6">
        <f>5/60</f>
        <v>8.3333333333333329E-2</v>
      </c>
      <c r="K25" s="13"/>
    </row>
    <row r="26" spans="1:11" ht="15" x14ac:dyDescent="0.2">
      <c r="A26" s="14"/>
      <c r="B26" s="16">
        <v>43299.520833333336</v>
      </c>
      <c r="C26" s="6">
        <v>0.83</v>
      </c>
      <c r="D26" s="6">
        <v>19.2</v>
      </c>
      <c r="E26" s="6">
        <f t="shared" si="0"/>
        <v>3.132530120481928</v>
      </c>
      <c r="F26" s="6">
        <v>2.6</v>
      </c>
      <c r="G26" s="6">
        <v>4.4000000000000004</v>
      </c>
      <c r="H26" s="6">
        <v>0.2</v>
      </c>
      <c r="I26" s="6">
        <v>0.67</v>
      </c>
      <c r="K26" s="13"/>
    </row>
    <row r="27" spans="1:11" ht="15" x14ac:dyDescent="0.2">
      <c r="A27" s="14"/>
      <c r="B27" s="16">
        <v>43315.670138888891</v>
      </c>
      <c r="C27" s="6">
        <v>4.84</v>
      </c>
      <c r="D27" s="6">
        <v>9.6</v>
      </c>
      <c r="E27" s="6">
        <f t="shared" si="0"/>
        <v>1.2809917355371903</v>
      </c>
      <c r="F27" s="6">
        <v>6.2</v>
      </c>
      <c r="G27" s="6">
        <v>1.32</v>
      </c>
      <c r="H27" s="6">
        <v>1</v>
      </c>
      <c r="I27" s="6">
        <f>5/6</f>
        <v>0.83333333333333337</v>
      </c>
      <c r="K27" s="13"/>
    </row>
    <row r="28" spans="1:11" ht="15" x14ac:dyDescent="0.2">
      <c r="A28" s="14"/>
      <c r="B28" s="16">
        <v>43324.413194444445</v>
      </c>
      <c r="C28" s="6">
        <v>0.5</v>
      </c>
      <c r="D28" s="6">
        <v>50.4</v>
      </c>
      <c r="E28" s="6">
        <f t="shared" si="0"/>
        <v>14</v>
      </c>
      <c r="F28" s="6">
        <v>7</v>
      </c>
      <c r="G28" s="6">
        <v>7.94</v>
      </c>
      <c r="H28" s="6">
        <v>7</v>
      </c>
      <c r="I28" s="6">
        <f>5/60</f>
        <v>8.3333333333333329E-2</v>
      </c>
      <c r="K28" s="13"/>
    </row>
    <row r="29" spans="1:11" ht="15" x14ac:dyDescent="0.2">
      <c r="A29" s="14"/>
      <c r="B29" s="16">
        <v>43336.177083333336</v>
      </c>
      <c r="C29" s="6">
        <v>8.25</v>
      </c>
      <c r="D29" s="6">
        <v>14.4</v>
      </c>
      <c r="E29" s="6">
        <f t="shared" si="0"/>
        <v>1.187878787878788</v>
      </c>
      <c r="F29" s="6">
        <v>9.8000000000000007</v>
      </c>
      <c r="G29" s="6">
        <v>11.7</v>
      </c>
      <c r="H29" s="6">
        <v>3.4</v>
      </c>
      <c r="I29" s="6">
        <f>5/6</f>
        <v>0.83333333333333337</v>
      </c>
      <c r="K29" s="13"/>
    </row>
    <row r="30" spans="1:11" ht="15" x14ac:dyDescent="0.2">
      <c r="A30" s="14"/>
      <c r="B30" s="16">
        <v>43346.201388888891</v>
      </c>
      <c r="C30" s="6">
        <v>1.25</v>
      </c>
      <c r="D30" s="6">
        <v>7.2</v>
      </c>
      <c r="E30" s="6">
        <f t="shared" si="0"/>
        <v>2.4</v>
      </c>
      <c r="F30" s="6">
        <v>3</v>
      </c>
      <c r="G30" s="6">
        <v>7.2</v>
      </c>
      <c r="H30" s="6">
        <v>0.8</v>
      </c>
      <c r="I30" s="6">
        <f>5/6</f>
        <v>0.83333333333333337</v>
      </c>
      <c r="K30" s="13"/>
    </row>
    <row r="31" spans="1:11" ht="15" x14ac:dyDescent="0.2">
      <c r="A31" s="14"/>
      <c r="B31" s="16">
        <v>43384.288194444445</v>
      </c>
      <c r="C31" s="6">
        <v>3.5</v>
      </c>
      <c r="D31" s="6">
        <v>12</v>
      </c>
      <c r="E31" s="6">
        <f t="shared" si="0"/>
        <v>1.3714285714285714</v>
      </c>
      <c r="F31" s="6">
        <v>4.8</v>
      </c>
      <c r="G31" s="6">
        <v>7.78</v>
      </c>
      <c r="H31" s="6">
        <v>0.2</v>
      </c>
      <c r="I31" s="6">
        <v>2.44</v>
      </c>
      <c r="K31" s="13"/>
    </row>
    <row r="32" spans="1:11" ht="15" x14ac:dyDescent="0.2">
      <c r="A32" s="14"/>
      <c r="B32" s="16">
        <v>43587.746527777781</v>
      </c>
      <c r="C32" s="6">
        <v>1.17</v>
      </c>
      <c r="D32" s="6">
        <v>12</v>
      </c>
      <c r="E32" s="6">
        <f t="shared" si="0"/>
        <v>4.1025641025641031</v>
      </c>
      <c r="F32" s="6">
        <v>4.8</v>
      </c>
      <c r="G32" s="6">
        <v>4.3</v>
      </c>
      <c r="H32" s="6">
        <v>0.8</v>
      </c>
      <c r="I32" s="6">
        <f>45/60</f>
        <v>0.75</v>
      </c>
      <c r="K32" s="13"/>
    </row>
    <row r="33" spans="1:11" ht="15" x14ac:dyDescent="0.2">
      <c r="A33" s="14"/>
      <c r="B33" s="16">
        <v>43592.670138888891</v>
      </c>
      <c r="C33" s="6">
        <v>5</v>
      </c>
      <c r="D33" s="6">
        <v>12</v>
      </c>
      <c r="E33" s="6">
        <f t="shared" si="0"/>
        <v>0.91999999999999993</v>
      </c>
      <c r="F33" s="6">
        <v>4.5999999999999996</v>
      </c>
      <c r="G33" s="6">
        <v>1.92</v>
      </c>
      <c r="H33" s="6">
        <v>1.6</v>
      </c>
      <c r="I33" s="6">
        <f>5/60</f>
        <v>8.3333333333333329E-2</v>
      </c>
      <c r="K33" s="13"/>
    </row>
    <row r="34" spans="1:11" ht="15" x14ac:dyDescent="0.2">
      <c r="A34" s="14"/>
      <c r="B34" s="16">
        <v>43635.201388888891</v>
      </c>
      <c r="C34" s="6">
        <f>4/6</f>
        <v>0.66666666666666663</v>
      </c>
      <c r="D34" s="6">
        <v>52.8</v>
      </c>
      <c r="E34" s="6">
        <f t="shared" si="0"/>
        <v>17.100000000000001</v>
      </c>
      <c r="F34" s="6">
        <v>11.4</v>
      </c>
      <c r="G34" s="6">
        <v>3.15</v>
      </c>
      <c r="H34" s="6">
        <v>10.6</v>
      </c>
      <c r="I34" s="6">
        <f>1/6</f>
        <v>0.16666666666666666</v>
      </c>
      <c r="K34" s="13"/>
    </row>
    <row r="35" spans="1:11" ht="15" x14ac:dyDescent="0.2">
      <c r="A35" s="14"/>
      <c r="B35" s="16">
        <v>43636.871527777781</v>
      </c>
      <c r="C35" s="6">
        <v>17.12</v>
      </c>
      <c r="D35" s="6">
        <v>72</v>
      </c>
      <c r="E35" s="6">
        <f t="shared" si="0"/>
        <v>4.9999999999999991</v>
      </c>
      <c r="F35" s="6">
        <v>85.6</v>
      </c>
      <c r="G35" s="6">
        <v>1.65</v>
      </c>
      <c r="H35" s="6">
        <v>0.4</v>
      </c>
      <c r="I35" s="6">
        <v>4.8499999999999996</v>
      </c>
      <c r="K35" s="13"/>
    </row>
    <row r="36" spans="1:11" ht="15" x14ac:dyDescent="0.2">
      <c r="A36" s="14"/>
      <c r="B36" s="16">
        <v>43639.354166666664</v>
      </c>
      <c r="C36" s="6">
        <v>2.35</v>
      </c>
      <c r="D36" s="6">
        <v>7.2</v>
      </c>
      <c r="E36" s="6">
        <f t="shared" si="0"/>
        <v>1.8723404255319149</v>
      </c>
      <c r="F36" s="6">
        <v>4.4000000000000004</v>
      </c>
      <c r="G36" s="6">
        <v>1.77</v>
      </c>
      <c r="H36" s="6">
        <v>0.8</v>
      </c>
      <c r="I36" s="6">
        <v>1.75</v>
      </c>
      <c r="K36" s="13"/>
    </row>
    <row r="37" spans="1:11" ht="15" x14ac:dyDescent="0.2">
      <c r="A37" s="14"/>
      <c r="B37" s="16">
        <v>43649.704861111109</v>
      </c>
      <c r="C37" s="6">
        <v>34</v>
      </c>
      <c r="D37" s="6">
        <v>7.2</v>
      </c>
      <c r="E37" s="6">
        <f t="shared" si="0"/>
        <v>1.0764705882352941</v>
      </c>
      <c r="F37" s="6">
        <v>36.6</v>
      </c>
      <c r="G37" s="6">
        <v>1.56</v>
      </c>
      <c r="H37" s="6">
        <v>0.8</v>
      </c>
      <c r="I37" s="6">
        <f>45/60</f>
        <v>0.75</v>
      </c>
      <c r="K37" s="12"/>
    </row>
    <row r="38" spans="1:11" ht="15" x14ac:dyDescent="0.2">
      <c r="A38" s="14"/>
      <c r="B38" s="16">
        <v>43655.982638888891</v>
      </c>
      <c r="C38" s="6">
        <v>0.5</v>
      </c>
      <c r="D38" s="6">
        <v>14.4</v>
      </c>
      <c r="E38" s="6">
        <f t="shared" si="0"/>
        <v>8</v>
      </c>
      <c r="F38" s="6">
        <v>4</v>
      </c>
      <c r="G38" s="6">
        <v>2.17</v>
      </c>
      <c r="H38" s="6">
        <v>4</v>
      </c>
      <c r="I38" s="6">
        <f>5/60</f>
        <v>8.3333333333333329E-2</v>
      </c>
      <c r="K38" s="12"/>
    </row>
    <row r="39" spans="1:11" ht="15" x14ac:dyDescent="0.2">
      <c r="A39" s="14"/>
      <c r="B39" s="16">
        <v>43664.604166666664</v>
      </c>
      <c r="C39" s="6">
        <v>5.18</v>
      </c>
      <c r="D39" s="6">
        <v>33.6</v>
      </c>
      <c r="E39" s="6">
        <f t="shared" si="0"/>
        <v>1.0810810810810811</v>
      </c>
      <c r="F39" s="6">
        <v>5.6</v>
      </c>
      <c r="G39" s="6">
        <v>0.96</v>
      </c>
      <c r="H39" s="6">
        <v>4.2</v>
      </c>
      <c r="I39" s="6">
        <v>0</v>
      </c>
      <c r="K39" s="12"/>
    </row>
    <row r="40" spans="1:11" ht="15" x14ac:dyDescent="0.2">
      <c r="A40" s="14"/>
      <c r="B40" s="16">
        <v>43683.635416666664</v>
      </c>
      <c r="C40" s="6">
        <v>7.25</v>
      </c>
      <c r="D40" s="6">
        <v>7.2</v>
      </c>
      <c r="E40" s="6">
        <f t="shared" si="0"/>
        <v>0.77241379310344827</v>
      </c>
      <c r="F40" s="6">
        <v>5.6</v>
      </c>
      <c r="G40" s="6">
        <v>10.87</v>
      </c>
      <c r="H40" s="6">
        <v>1</v>
      </c>
      <c r="I40" s="6">
        <f>5/60</f>
        <v>8.3333333333333329E-2</v>
      </c>
      <c r="K40" s="13"/>
    </row>
    <row r="41" spans="1:11" ht="15" x14ac:dyDescent="0.2">
      <c r="A41" s="14"/>
      <c r="B41" s="16">
        <v>43699.8125</v>
      </c>
      <c r="C41" s="6">
        <v>2.67</v>
      </c>
      <c r="D41" s="6">
        <v>12</v>
      </c>
      <c r="E41" s="6">
        <f t="shared" si="0"/>
        <v>2.0973782771535578</v>
      </c>
      <c r="F41" s="6">
        <v>5.6</v>
      </c>
      <c r="G41" s="6">
        <v>5.76</v>
      </c>
      <c r="H41" s="6">
        <v>1.8</v>
      </c>
      <c r="I41" s="6">
        <f>4/6</f>
        <v>0.66666666666666663</v>
      </c>
      <c r="K41" s="13"/>
    </row>
    <row r="42" spans="1:11" ht="15" x14ac:dyDescent="0.2">
      <c r="A42" s="14"/>
      <c r="B42" s="16">
        <v>43717.454861111109</v>
      </c>
      <c r="C42" s="6">
        <v>26.66</v>
      </c>
      <c r="D42" s="6">
        <v>9.6</v>
      </c>
      <c r="E42" s="6">
        <f t="shared" si="0"/>
        <v>0.73518379594898731</v>
      </c>
      <c r="F42" s="6">
        <v>19.600000000000001</v>
      </c>
      <c r="G42" s="6">
        <v>7.4</v>
      </c>
      <c r="H42" s="6">
        <v>0.2</v>
      </c>
      <c r="I42" s="6">
        <v>7.36</v>
      </c>
      <c r="K42" s="13"/>
    </row>
    <row r="43" spans="1:11" ht="15" x14ac:dyDescent="0.2">
      <c r="A43" s="14" t="s">
        <v>17</v>
      </c>
      <c r="B43" s="16">
        <v>43291.239583333336</v>
      </c>
      <c r="C43" s="6">
        <v>2</v>
      </c>
      <c r="D43" s="6">
        <v>48</v>
      </c>
      <c r="E43" s="6">
        <f t="shared" si="0"/>
        <v>3.8</v>
      </c>
      <c r="F43" s="6">
        <v>7.6</v>
      </c>
      <c r="G43" s="6">
        <v>6.1</v>
      </c>
      <c r="H43" s="6">
        <v>5.4</v>
      </c>
      <c r="I43" s="6">
        <f>1/6</f>
        <v>0.16666666666666666</v>
      </c>
      <c r="K43" s="13"/>
    </row>
    <row r="44" spans="1:11" ht="15" x14ac:dyDescent="0.2">
      <c r="A44" s="14"/>
      <c r="B44" s="16">
        <v>43307.482638888891</v>
      </c>
      <c r="C44" s="6">
        <f>2/6</f>
        <v>0.33333333333333331</v>
      </c>
      <c r="D44" s="6">
        <v>48</v>
      </c>
      <c r="E44" s="6">
        <f t="shared" si="0"/>
        <v>31.200000000000003</v>
      </c>
      <c r="F44" s="6">
        <v>10.4</v>
      </c>
      <c r="G44" s="6">
        <v>0.625</v>
      </c>
      <c r="H44" s="6">
        <v>10.4</v>
      </c>
      <c r="I44" s="6">
        <f>5/60</f>
        <v>8.3333333333333329E-2</v>
      </c>
      <c r="K44" s="13"/>
    </row>
    <row r="45" spans="1:11" ht="15" x14ac:dyDescent="0.2">
      <c r="A45" s="14"/>
      <c r="B45" s="16">
        <v>43376.3125</v>
      </c>
      <c r="C45" s="6">
        <v>1.83</v>
      </c>
      <c r="D45" s="6">
        <v>7.2</v>
      </c>
      <c r="E45" s="6">
        <f t="shared" si="0"/>
        <v>3.4710382513661204</v>
      </c>
      <c r="F45" s="6">
        <v>6.3520000000000003</v>
      </c>
      <c r="G45" s="6">
        <v>4.53</v>
      </c>
      <c r="H45" s="6">
        <v>2.1999999999999997</v>
      </c>
      <c r="I45" s="6">
        <v>0.25</v>
      </c>
      <c r="K45" s="13"/>
    </row>
    <row r="46" spans="1:11" ht="15" x14ac:dyDescent="0.2">
      <c r="A46" s="14"/>
      <c r="B46" s="16">
        <v>43583.416666666664</v>
      </c>
      <c r="C46" s="6">
        <f>5/6</f>
        <v>0.83333333333333337</v>
      </c>
      <c r="D46" s="6">
        <v>9.6</v>
      </c>
      <c r="E46" s="6">
        <f t="shared" si="0"/>
        <v>3.3599999999999994</v>
      </c>
      <c r="F46" s="6">
        <v>2.8</v>
      </c>
      <c r="G46" s="6">
        <v>0.6875</v>
      </c>
      <c r="H46" s="6">
        <v>2.4</v>
      </c>
      <c r="I46" s="6">
        <f>15/60</f>
        <v>0.25</v>
      </c>
      <c r="K46" s="13"/>
    </row>
    <row r="47" spans="1:11" ht="15" x14ac:dyDescent="0.2">
      <c r="A47" s="14"/>
      <c r="B47" s="16">
        <v>43606.100694444445</v>
      </c>
      <c r="C47" s="6">
        <v>55</v>
      </c>
      <c r="D47" s="6">
        <v>2.4</v>
      </c>
      <c r="E47" s="6">
        <f t="shared" si="0"/>
        <v>9.0909090909090912E-2</v>
      </c>
      <c r="F47" s="6">
        <v>5</v>
      </c>
      <c r="G47" s="6">
        <v>2.64</v>
      </c>
      <c r="H47" s="6">
        <v>0.2</v>
      </c>
      <c r="I47" s="6">
        <v>0</v>
      </c>
      <c r="K47" s="13"/>
    </row>
    <row r="48" spans="1:11" ht="15" x14ac:dyDescent="0.2">
      <c r="A48" s="14"/>
      <c r="B48" s="16">
        <v>43622.569444444445</v>
      </c>
      <c r="C48" s="6">
        <v>25.3</v>
      </c>
      <c r="D48" s="6">
        <v>4.8</v>
      </c>
      <c r="E48" s="6">
        <f t="shared" si="0"/>
        <v>0.31620553359683795</v>
      </c>
      <c r="F48" s="6">
        <v>8</v>
      </c>
      <c r="G48" s="6">
        <v>12.16</v>
      </c>
      <c r="H48" s="6">
        <v>0.2</v>
      </c>
      <c r="I48" s="6">
        <v>25.15</v>
      </c>
      <c r="K48" s="13"/>
    </row>
    <row r="49" spans="1:11" ht="15" x14ac:dyDescent="0.2">
      <c r="A49" s="14"/>
      <c r="B49" s="16">
        <v>43624.84375</v>
      </c>
      <c r="C49" s="6">
        <v>1.17</v>
      </c>
      <c r="D49" s="6">
        <v>28.8</v>
      </c>
      <c r="E49" s="6">
        <f t="shared" si="0"/>
        <v>5.2991452991452999</v>
      </c>
      <c r="F49" s="6">
        <v>6.2</v>
      </c>
      <c r="G49" s="6">
        <v>0.98</v>
      </c>
      <c r="H49" s="6">
        <v>6</v>
      </c>
      <c r="I49" s="6">
        <v>0</v>
      </c>
      <c r="K49" s="13"/>
    </row>
    <row r="50" spans="1:11" ht="15" x14ac:dyDescent="0.2">
      <c r="A50" s="14"/>
      <c r="B50" s="16">
        <v>43634.972222222219</v>
      </c>
      <c r="C50" s="6">
        <f>5/6</f>
        <v>0.83333333333333337</v>
      </c>
      <c r="D50" s="6">
        <v>64.8</v>
      </c>
      <c r="E50" s="6">
        <f t="shared" si="0"/>
        <v>12.719999999999999</v>
      </c>
      <c r="F50" s="6">
        <v>10.6</v>
      </c>
      <c r="G50" s="6">
        <v>3.17</v>
      </c>
      <c r="H50" s="6">
        <v>2.4</v>
      </c>
      <c r="I50" s="6">
        <f>35/60</f>
        <v>0.58333333333333337</v>
      </c>
      <c r="K50" s="13"/>
    </row>
    <row r="51" spans="1:11" ht="15" x14ac:dyDescent="0.2">
      <c r="A51" s="14"/>
      <c r="B51" s="16">
        <v>43643.128472222219</v>
      </c>
      <c r="C51" s="6">
        <v>18.55</v>
      </c>
      <c r="D51" s="6">
        <v>38.4</v>
      </c>
      <c r="E51" s="6">
        <f t="shared" si="0"/>
        <v>2.4474393530997305</v>
      </c>
      <c r="F51" s="6">
        <v>45.4</v>
      </c>
      <c r="G51" s="6">
        <v>2.91</v>
      </c>
      <c r="H51" s="6">
        <v>1.6</v>
      </c>
      <c r="I51" s="6">
        <v>16.920000000000002</v>
      </c>
      <c r="K51" s="13"/>
    </row>
    <row r="52" spans="1:11" ht="15" x14ac:dyDescent="0.2">
      <c r="A52" s="14"/>
      <c r="B52" s="16">
        <v>43647.878472222219</v>
      </c>
      <c r="C52" s="6">
        <v>4.5999999999999996</v>
      </c>
      <c r="D52" s="6">
        <v>2.4</v>
      </c>
      <c r="E52" s="6">
        <f t="shared" si="0"/>
        <v>0.91304347826086962</v>
      </c>
      <c r="F52" s="6">
        <v>4.2</v>
      </c>
      <c r="G52" s="6">
        <v>4.2</v>
      </c>
      <c r="H52" s="6">
        <v>0.6</v>
      </c>
      <c r="I52" s="6">
        <v>0</v>
      </c>
      <c r="K52" s="13"/>
    </row>
    <row r="53" spans="1:11" ht="15" x14ac:dyDescent="0.2">
      <c r="A53" s="14"/>
      <c r="B53" s="16">
        <v>43649.458333333336</v>
      </c>
      <c r="C53" s="6">
        <v>42.6</v>
      </c>
      <c r="D53" s="6">
        <v>16.8</v>
      </c>
      <c r="E53" s="6">
        <f t="shared" si="0"/>
        <v>0.5821596244131455</v>
      </c>
      <c r="F53" s="6">
        <v>24.8</v>
      </c>
      <c r="G53" s="6">
        <v>1.4</v>
      </c>
      <c r="H53" s="6">
        <v>3.2</v>
      </c>
      <c r="I53" s="6">
        <f>5/60</f>
        <v>8.3333333333333329E-2</v>
      </c>
      <c r="K53" s="13"/>
    </row>
    <row r="54" spans="1:11" ht="15" x14ac:dyDescent="0.2">
      <c r="A54" s="14"/>
      <c r="B54" s="16">
        <v>43653.850694444445</v>
      </c>
      <c r="C54" s="6">
        <v>4.43</v>
      </c>
      <c r="D54" s="6">
        <v>7.2</v>
      </c>
      <c r="E54" s="6">
        <f t="shared" si="0"/>
        <v>1.4446952595936797</v>
      </c>
      <c r="F54" s="6">
        <v>6.4</v>
      </c>
      <c r="G54" s="6">
        <v>2.4</v>
      </c>
      <c r="H54" s="6">
        <v>2</v>
      </c>
      <c r="I54" s="6">
        <f>5/60</f>
        <v>8.3333333333333329E-2</v>
      </c>
      <c r="K54" s="13"/>
    </row>
    <row r="55" spans="1:11" ht="15" x14ac:dyDescent="0.2">
      <c r="A55" s="14"/>
      <c r="B55" s="16">
        <v>43664.625</v>
      </c>
      <c r="C55" s="6">
        <v>5.0999999999999996</v>
      </c>
      <c r="D55" s="6">
        <v>31.2</v>
      </c>
      <c r="E55" s="6">
        <f t="shared" si="0"/>
        <v>1.2941176470588236</v>
      </c>
      <c r="F55" s="6">
        <v>6.6</v>
      </c>
      <c r="G55" s="6">
        <v>1.86</v>
      </c>
      <c r="H55" s="6">
        <v>4.2</v>
      </c>
      <c r="I55" s="6">
        <f>15/60</f>
        <v>0.25</v>
      </c>
      <c r="K55" s="13"/>
    </row>
    <row r="56" spans="1:11" ht="15" x14ac:dyDescent="0.2">
      <c r="A56" s="14"/>
      <c r="B56" s="16">
        <v>43665.628472222219</v>
      </c>
      <c r="C56" s="6">
        <v>27.5</v>
      </c>
      <c r="D56" s="6">
        <v>4.8</v>
      </c>
      <c r="E56" s="6">
        <f t="shared" si="0"/>
        <v>0.19636363636363638</v>
      </c>
      <c r="F56" s="6">
        <v>5.4</v>
      </c>
      <c r="G56" s="6">
        <v>1.04</v>
      </c>
      <c r="H56" s="6">
        <v>0.6</v>
      </c>
      <c r="I56" s="6">
        <v>13.13</v>
      </c>
      <c r="K56" s="13"/>
    </row>
    <row r="57" spans="1:11" ht="15" x14ac:dyDescent="0.2">
      <c r="A57" s="14"/>
      <c r="B57" s="16">
        <v>43683.684027777781</v>
      </c>
      <c r="C57" s="6">
        <v>1.17</v>
      </c>
      <c r="D57" s="6">
        <v>48</v>
      </c>
      <c r="E57" s="6">
        <f t="shared" si="0"/>
        <v>6.8376068376068382</v>
      </c>
      <c r="F57" s="6">
        <v>8</v>
      </c>
      <c r="G57" s="6">
        <v>3.28</v>
      </c>
      <c r="H57" s="6">
        <v>7.4</v>
      </c>
      <c r="I57" s="6">
        <f>1/6</f>
        <v>0.16666666666666666</v>
      </c>
    </row>
    <row r="58" spans="1:11" ht="15" x14ac:dyDescent="0.2">
      <c r="A58" s="14"/>
      <c r="B58" s="16">
        <v>43693.038194444445</v>
      </c>
      <c r="C58" s="6">
        <v>6.58</v>
      </c>
      <c r="D58" s="6">
        <v>26.4</v>
      </c>
      <c r="E58" s="6">
        <f t="shared" si="0"/>
        <v>0.97264437689969607</v>
      </c>
      <c r="F58" s="6">
        <v>6.4</v>
      </c>
      <c r="G58" s="6">
        <v>2.64</v>
      </c>
      <c r="H58" s="6">
        <v>0.4</v>
      </c>
      <c r="I58" s="6">
        <v>3.17</v>
      </c>
    </row>
    <row r="59" spans="1:11" ht="15" x14ac:dyDescent="0.2">
      <c r="A59" s="14"/>
      <c r="B59" s="16">
        <v>43699.829861111109</v>
      </c>
      <c r="C59" s="6">
        <v>3.92</v>
      </c>
      <c r="D59" s="6">
        <v>16.8</v>
      </c>
      <c r="E59" s="6">
        <f t="shared" si="0"/>
        <v>1.9387755102040816</v>
      </c>
      <c r="F59" s="6">
        <v>7.6</v>
      </c>
      <c r="G59" s="6">
        <v>6.31</v>
      </c>
      <c r="H59" s="6">
        <v>2.8</v>
      </c>
      <c r="I59" s="6">
        <f>5/60</f>
        <v>8.3333333333333329E-2</v>
      </c>
    </row>
    <row r="60" spans="1:11" ht="15" x14ac:dyDescent="0.2">
      <c r="A60" s="14"/>
      <c r="B60" s="16">
        <v>43707.607638888891</v>
      </c>
      <c r="C60" s="6">
        <v>27.9</v>
      </c>
      <c r="D60" s="6">
        <v>9.6</v>
      </c>
      <c r="E60" s="6">
        <f t="shared" si="0"/>
        <v>0.77419354838709686</v>
      </c>
      <c r="F60" s="6">
        <v>21.6</v>
      </c>
      <c r="G60" s="6">
        <v>4.68</v>
      </c>
      <c r="H60" s="6">
        <v>0.8</v>
      </c>
      <c r="I60" s="6">
        <v>23.2</v>
      </c>
    </row>
    <row r="61" spans="1:11" ht="15" x14ac:dyDescent="0.2">
      <c r="A61" s="14"/>
      <c r="B61" s="16">
        <v>43726.791666666664</v>
      </c>
      <c r="C61" s="6">
        <v>30</v>
      </c>
      <c r="D61" s="6">
        <v>4.8</v>
      </c>
      <c r="E61" s="6">
        <f t="shared" si="0"/>
        <v>0.56666666666666665</v>
      </c>
      <c r="F61" s="6">
        <v>17</v>
      </c>
      <c r="G61" s="6">
        <v>8.3800000000000008</v>
      </c>
      <c r="H61" s="6">
        <v>0.6</v>
      </c>
      <c r="I61" s="6">
        <v>9.86</v>
      </c>
    </row>
    <row r="62" spans="1:11" ht="15" x14ac:dyDescent="0.2">
      <c r="A62" s="14"/>
      <c r="B62" s="16">
        <v>43738.246527777781</v>
      </c>
      <c r="C62" s="6">
        <v>4.78</v>
      </c>
      <c r="D62" s="6">
        <v>9.6</v>
      </c>
      <c r="E62" s="6">
        <f t="shared" si="0"/>
        <v>1.506276150627615</v>
      </c>
      <c r="F62" s="6">
        <v>7.2</v>
      </c>
      <c r="G62" s="6">
        <v>2.77</v>
      </c>
      <c r="H62" s="6">
        <v>0.2</v>
      </c>
      <c r="I62" s="6">
        <v>2.67</v>
      </c>
    </row>
    <row r="63" spans="1:11" ht="15" x14ac:dyDescent="0.2">
      <c r="A63" s="14" t="s">
        <v>24</v>
      </c>
      <c r="B63" s="16">
        <v>43267.770833333336</v>
      </c>
      <c r="C63" s="6">
        <v>4.51</v>
      </c>
      <c r="D63" s="6">
        <v>12</v>
      </c>
      <c r="E63" s="6">
        <f t="shared" si="0"/>
        <v>0.97560975609756106</v>
      </c>
      <c r="F63" s="6">
        <v>4.4000000000000004</v>
      </c>
      <c r="G63" s="6">
        <v>2.2650000000000001</v>
      </c>
      <c r="H63" s="6">
        <v>2.4</v>
      </c>
      <c r="I63" s="6">
        <f>5/60</f>
        <v>8.3333333333333329E-2</v>
      </c>
    </row>
    <row r="64" spans="1:11" ht="15" x14ac:dyDescent="0.2">
      <c r="A64" s="14"/>
      <c r="B64" s="16">
        <v>43274.204861111109</v>
      </c>
      <c r="C64" s="6">
        <v>14.48</v>
      </c>
      <c r="D64" s="6">
        <v>21.6</v>
      </c>
      <c r="E64" s="6">
        <f t="shared" si="0"/>
        <v>3.5497237569060771</v>
      </c>
      <c r="F64" s="6">
        <v>51.4</v>
      </c>
      <c r="G64" s="6">
        <v>0.48</v>
      </c>
      <c r="H64" s="6">
        <v>4.8</v>
      </c>
      <c r="I64" s="6">
        <v>5.85</v>
      </c>
    </row>
    <row r="65" spans="1:9" ht="15" x14ac:dyDescent="0.2">
      <c r="A65" s="14"/>
      <c r="B65" s="16">
        <v>43338.875</v>
      </c>
      <c r="C65" s="6">
        <v>5.9</v>
      </c>
      <c r="D65" s="6">
        <v>4.8</v>
      </c>
      <c r="E65" s="6">
        <f t="shared" si="0"/>
        <v>1.7627118644067796</v>
      </c>
      <c r="F65" s="6">
        <v>10.4</v>
      </c>
      <c r="G65" s="6">
        <v>2.2269999999999999</v>
      </c>
      <c r="H65" s="6">
        <v>0.4</v>
      </c>
      <c r="I65" s="6">
        <f>5/6</f>
        <v>0.83333333333333337</v>
      </c>
    </row>
    <row r="66" spans="1:9" ht="15" x14ac:dyDescent="0.2">
      <c r="A66" s="14"/>
      <c r="B66" s="16">
        <v>43624.600694444445</v>
      </c>
      <c r="C66" s="6">
        <v>1.17</v>
      </c>
      <c r="D66" s="6">
        <v>9.6</v>
      </c>
      <c r="E66" s="6">
        <f t="shared" si="0"/>
        <v>2.7350427350427355</v>
      </c>
      <c r="F66" s="6">
        <v>3.2</v>
      </c>
      <c r="G66" s="6">
        <v>1.05</v>
      </c>
      <c r="H66" s="6">
        <v>3</v>
      </c>
      <c r="I66" s="6">
        <v>0</v>
      </c>
    </row>
  </sheetData>
  <mergeCells count="4">
    <mergeCell ref="A63:A66"/>
    <mergeCell ref="A2:A23"/>
    <mergeCell ref="A24:A42"/>
    <mergeCell ref="A43:A6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Labeled data</vt:lpstr>
      <vt:lpstr>Unlabeled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Beachpark</dc:creator>
  <cp:lastModifiedBy>Haibin Yan</cp:lastModifiedBy>
  <dcterms:created xsi:type="dcterms:W3CDTF">2015-06-05T18:19:34Z</dcterms:created>
  <dcterms:modified xsi:type="dcterms:W3CDTF">2026-02-11T02:13:22Z</dcterms:modified>
</cp:coreProperties>
</file>