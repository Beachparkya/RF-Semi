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\Desktop\Fifthe Paper\New input\"/>
    </mc:Choice>
  </mc:AlternateContent>
  <xr:revisionPtr revIDLastSave="0" documentId="13_ncr:1_{E8E517BB-854F-4057-8260-D87FE716F8A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TSS" sheetId="1" r:id="rId1"/>
    <sheet name="TN" sheetId="2" r:id="rId2"/>
    <sheet name="TP" sheetId="3" r:id="rId3"/>
  </sheets>
  <definedNames>
    <definedName name="_xlchart.v1.0" hidden="1">TSS!$AF$1</definedName>
    <definedName name="_xlchart.v1.1" hidden="1">TSS!$AF$2:$AF$66</definedName>
    <definedName name="_xlchart.v1.2" hidden="1">TSS!$AF$1</definedName>
    <definedName name="_xlchart.v1.3" hidden="1">TSS!$AF$2:$AF$66</definedName>
    <definedName name="_xlchart.v1.4" hidden="1">TN!$AF$1</definedName>
    <definedName name="_xlchart.v1.5" hidden="1">TN!$AF$2:$AF$66</definedName>
    <definedName name="_xlchart.v1.6" hidden="1">TP!$AF$1</definedName>
    <definedName name="_xlchart.v1.7" hidden="1">TP!$AF$2:$AF$67</definedName>
    <definedName name="_xlchart.v1.8" hidden="1">TP!$AF$1</definedName>
    <definedName name="_xlchart.v1.9" hidden="1">TP!$AF$2:$AF$67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6" i="3" l="1"/>
  <c r="AD66" i="3"/>
  <c r="AE65" i="3"/>
  <c r="AD65" i="3"/>
  <c r="AE64" i="3"/>
  <c r="AD64" i="3"/>
  <c r="AE63" i="3"/>
  <c r="AD63" i="3"/>
  <c r="AE62" i="3"/>
  <c r="AD62" i="3"/>
  <c r="AE61" i="3"/>
  <c r="AD61" i="3"/>
  <c r="AE60" i="3"/>
  <c r="AD60" i="3"/>
  <c r="AE59" i="3"/>
  <c r="AD59" i="3"/>
  <c r="AE58" i="3"/>
  <c r="AD58" i="3"/>
  <c r="AE57" i="3"/>
  <c r="AD57" i="3"/>
  <c r="AE56" i="3"/>
  <c r="AD56" i="3"/>
  <c r="AE55" i="3"/>
  <c r="AD55" i="3"/>
  <c r="AE54" i="3"/>
  <c r="AD54" i="3"/>
  <c r="AE53" i="3"/>
  <c r="AD53" i="3"/>
  <c r="AE52" i="3"/>
  <c r="AD52" i="3"/>
  <c r="AE51" i="3"/>
  <c r="AD51" i="3"/>
  <c r="AE50" i="3"/>
  <c r="AD50" i="3"/>
  <c r="AE49" i="3"/>
  <c r="AF49" i="3" s="1"/>
  <c r="AD49" i="3"/>
  <c r="AE48" i="3"/>
  <c r="AD48" i="3"/>
  <c r="AE47" i="3"/>
  <c r="AD47" i="3"/>
  <c r="AE46" i="3"/>
  <c r="AD46" i="3"/>
  <c r="AE45" i="3"/>
  <c r="AD45" i="3"/>
  <c r="AE44" i="3"/>
  <c r="AD44" i="3"/>
  <c r="AE43" i="3"/>
  <c r="AD43" i="3"/>
  <c r="AE42" i="3"/>
  <c r="AD42" i="3"/>
  <c r="AE41" i="3"/>
  <c r="AD41" i="3"/>
  <c r="AE40" i="3"/>
  <c r="AD40" i="3"/>
  <c r="AE39" i="3"/>
  <c r="AD39" i="3"/>
  <c r="AE38" i="3"/>
  <c r="AD38" i="3"/>
  <c r="AE37" i="3"/>
  <c r="AF37" i="3" s="1"/>
  <c r="AD37" i="3"/>
  <c r="AE36" i="3"/>
  <c r="AD36" i="3"/>
  <c r="AE35" i="3"/>
  <c r="AD35" i="3"/>
  <c r="AE34" i="3"/>
  <c r="AD34" i="3"/>
  <c r="AE33" i="3"/>
  <c r="AD33" i="3"/>
  <c r="AE32" i="3"/>
  <c r="AD32" i="3"/>
  <c r="AE31" i="3"/>
  <c r="AD31" i="3"/>
  <c r="AE30" i="3"/>
  <c r="AD30" i="3"/>
  <c r="AE29" i="3"/>
  <c r="AD29" i="3"/>
  <c r="AE28" i="3"/>
  <c r="AF28" i="3" s="1"/>
  <c r="AD28" i="3"/>
  <c r="AE27" i="3"/>
  <c r="AD27" i="3"/>
  <c r="AE26" i="3"/>
  <c r="AD26" i="3"/>
  <c r="AE25" i="3"/>
  <c r="AF25" i="3" s="1"/>
  <c r="AD25" i="3"/>
  <c r="AE24" i="3"/>
  <c r="AD24" i="3"/>
  <c r="AE23" i="3"/>
  <c r="AD23" i="3"/>
  <c r="AE22" i="3"/>
  <c r="AD22" i="3"/>
  <c r="AE21" i="3"/>
  <c r="AD21" i="3"/>
  <c r="AE20" i="3"/>
  <c r="AD20" i="3"/>
  <c r="AE19" i="3"/>
  <c r="AD19" i="3"/>
  <c r="AE18" i="3"/>
  <c r="AD18" i="3"/>
  <c r="AE17" i="3"/>
  <c r="AD17" i="3"/>
  <c r="AE16" i="3"/>
  <c r="AF16" i="3" s="1"/>
  <c r="AD16" i="3"/>
  <c r="AE15" i="3"/>
  <c r="AD15" i="3"/>
  <c r="AE14" i="3"/>
  <c r="AD14" i="3"/>
  <c r="AE13" i="3"/>
  <c r="AF13" i="3" s="1"/>
  <c r="AD13" i="3"/>
  <c r="AE12" i="3"/>
  <c r="AD12" i="3"/>
  <c r="AE11" i="3"/>
  <c r="AD11" i="3"/>
  <c r="AE10" i="3"/>
  <c r="AD10" i="3"/>
  <c r="AE9" i="3"/>
  <c r="AD9" i="3"/>
  <c r="AE8" i="3"/>
  <c r="AD8" i="3"/>
  <c r="AE7" i="3"/>
  <c r="AD7" i="3"/>
  <c r="AE6" i="3"/>
  <c r="AD6" i="3"/>
  <c r="AE5" i="3"/>
  <c r="AD5" i="3"/>
  <c r="AE4" i="3"/>
  <c r="AF4" i="3" s="1"/>
  <c r="AD4" i="3"/>
  <c r="AE3" i="3"/>
  <c r="AD3" i="3"/>
  <c r="AE2" i="3"/>
  <c r="AD2" i="3"/>
  <c r="AE66" i="2"/>
  <c r="AF66" i="2" s="1"/>
  <c r="AD66" i="2"/>
  <c r="AE65" i="2"/>
  <c r="AD65" i="2"/>
  <c r="AE64" i="2"/>
  <c r="AD64" i="2"/>
  <c r="AE63" i="2"/>
  <c r="AD63" i="2"/>
  <c r="AE62" i="2"/>
  <c r="AD62" i="2"/>
  <c r="AE61" i="2"/>
  <c r="AD61" i="2"/>
  <c r="AE60" i="2"/>
  <c r="AD60" i="2"/>
  <c r="AE59" i="2"/>
  <c r="AD59" i="2"/>
  <c r="AE58" i="2"/>
  <c r="AD58" i="2"/>
  <c r="AE57" i="2"/>
  <c r="AD57" i="2"/>
  <c r="AE56" i="2"/>
  <c r="AF56" i="2" s="1"/>
  <c r="AD56" i="2"/>
  <c r="AE55" i="2"/>
  <c r="AD55" i="2"/>
  <c r="AE54" i="2"/>
  <c r="AF54" i="2" s="1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F45" i="2" s="1"/>
  <c r="AD45" i="2"/>
  <c r="AE44" i="2"/>
  <c r="AF44" i="2" s="1"/>
  <c r="AD44" i="2"/>
  <c r="AE43" i="2"/>
  <c r="AD43" i="2"/>
  <c r="AE42" i="2"/>
  <c r="AF42" i="2" s="1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F33" i="2" s="1"/>
  <c r="AD33" i="2"/>
  <c r="AE32" i="2"/>
  <c r="AF32" i="2" s="1"/>
  <c r="AD32" i="2"/>
  <c r="AE31" i="2"/>
  <c r="AD31" i="2"/>
  <c r="AE30" i="2"/>
  <c r="AF30" i="2" s="1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F21" i="2" s="1"/>
  <c r="AD21" i="2"/>
  <c r="AE20" i="2"/>
  <c r="AF20" i="2" s="1"/>
  <c r="AD20" i="2"/>
  <c r="AE19" i="2"/>
  <c r="AD19" i="2"/>
  <c r="AE18" i="2"/>
  <c r="AF18" i="2" s="1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AD2" i="1"/>
  <c r="AE2" i="1"/>
  <c r="AF2" i="1" s="1"/>
  <c r="AD3" i="1"/>
  <c r="AE3" i="1"/>
  <c r="AD4" i="1"/>
  <c r="AE4" i="1"/>
  <c r="AD5" i="1"/>
  <c r="AE5" i="1"/>
  <c r="AD6" i="1"/>
  <c r="AE6" i="1"/>
  <c r="AD7" i="1"/>
  <c r="AE7" i="1"/>
  <c r="AF7" i="1" s="1"/>
  <c r="AD8" i="1"/>
  <c r="AE8" i="1"/>
  <c r="AD9" i="1"/>
  <c r="AE9" i="1"/>
  <c r="AF9" i="1" s="1"/>
  <c r="AD10" i="1"/>
  <c r="AE10" i="1"/>
  <c r="AF10" i="1" s="1"/>
  <c r="AD11" i="1"/>
  <c r="AE11" i="1"/>
  <c r="AF11" i="1" s="1"/>
  <c r="AD12" i="1"/>
  <c r="AE12" i="1"/>
  <c r="AD13" i="1"/>
  <c r="AE13" i="1"/>
  <c r="AD14" i="1"/>
  <c r="AE14" i="1"/>
  <c r="AF14" i="1" s="1"/>
  <c r="AD15" i="1"/>
  <c r="AE15" i="1"/>
  <c r="AD16" i="1"/>
  <c r="AE16" i="1"/>
  <c r="AD17" i="1"/>
  <c r="AE17" i="1"/>
  <c r="AD18" i="1"/>
  <c r="AE18" i="1"/>
  <c r="AD19" i="1"/>
  <c r="AE19" i="1"/>
  <c r="AF19" i="1" s="1"/>
  <c r="AD20" i="1"/>
  <c r="AE20" i="1"/>
  <c r="AF20" i="1" s="1"/>
  <c r="AD21" i="1"/>
  <c r="AE21" i="1"/>
  <c r="AF21" i="1" s="1"/>
  <c r="AD22" i="1"/>
  <c r="AE22" i="1"/>
  <c r="AF22" i="1" s="1"/>
  <c r="AD23" i="1"/>
  <c r="AE23" i="1"/>
  <c r="AF23" i="1" s="1"/>
  <c r="AD24" i="1"/>
  <c r="AE24" i="1"/>
  <c r="AF24" i="1" s="1"/>
  <c r="AD25" i="1"/>
  <c r="AE25" i="1"/>
  <c r="AF25" i="1" s="1"/>
  <c r="AD26" i="1"/>
  <c r="AE26" i="1"/>
  <c r="AF26" i="1" s="1"/>
  <c r="AD27" i="1"/>
  <c r="AE27" i="1"/>
  <c r="AF27" i="1" s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F33" i="1" s="1"/>
  <c r="AD34" i="1"/>
  <c r="AE34" i="1"/>
  <c r="AD35" i="1"/>
  <c r="AE35" i="1"/>
  <c r="AF35" i="1" s="1"/>
  <c r="AD36" i="1"/>
  <c r="AE36" i="1"/>
  <c r="AF36" i="1" s="1"/>
  <c r="AD37" i="1"/>
  <c r="AE37" i="1"/>
  <c r="AD38" i="1"/>
  <c r="AE38" i="1"/>
  <c r="AD39" i="1"/>
  <c r="AE39" i="1"/>
  <c r="AF39" i="1" s="1"/>
  <c r="AD40" i="1"/>
  <c r="AE40" i="1"/>
  <c r="AF40" i="1" s="1"/>
  <c r="AD41" i="1"/>
  <c r="AE41" i="1"/>
  <c r="AD42" i="1"/>
  <c r="AE42" i="1"/>
  <c r="AD43" i="1"/>
  <c r="AE43" i="1"/>
  <c r="AF43" i="1" s="1"/>
  <c r="AD44" i="1"/>
  <c r="AE44" i="1"/>
  <c r="AF44" i="1" s="1"/>
  <c r="AD45" i="1"/>
  <c r="AE45" i="1"/>
  <c r="AD46" i="1"/>
  <c r="AE46" i="1"/>
  <c r="AF46" i="1" s="1"/>
  <c r="AD47" i="1"/>
  <c r="AE47" i="1"/>
  <c r="AF47" i="1" s="1"/>
  <c r="AD48" i="1"/>
  <c r="AE48" i="1"/>
  <c r="AF48" i="1" s="1"/>
  <c r="AD49" i="1"/>
  <c r="AE49" i="1"/>
  <c r="AF49" i="1"/>
  <c r="AD50" i="1"/>
  <c r="AE50" i="1"/>
  <c r="AD51" i="1"/>
  <c r="AE51" i="1"/>
  <c r="AD52" i="1"/>
  <c r="AE52" i="1"/>
  <c r="AF52" i="1" s="1"/>
  <c r="AD53" i="1"/>
  <c r="AE53" i="1"/>
  <c r="AD54" i="1"/>
  <c r="AE54" i="1"/>
  <c r="AD55" i="1"/>
  <c r="AE55" i="1"/>
  <c r="AF55" i="1" s="1"/>
  <c r="AD56" i="1"/>
  <c r="AE56" i="1"/>
  <c r="AF56" i="1" s="1"/>
  <c r="AD57" i="1"/>
  <c r="AE57" i="1"/>
  <c r="AF57" i="1"/>
  <c r="AD58" i="1"/>
  <c r="AE58" i="1"/>
  <c r="AF58" i="1" s="1"/>
  <c r="AD59" i="1"/>
  <c r="AE59" i="1"/>
  <c r="AF59" i="1" s="1"/>
  <c r="AD60" i="1"/>
  <c r="AE60" i="1"/>
  <c r="AF60" i="1" s="1"/>
  <c r="AD61" i="1"/>
  <c r="AE61" i="1"/>
  <c r="AD62" i="1"/>
  <c r="AE62" i="1"/>
  <c r="AD63" i="1"/>
  <c r="AE63" i="1"/>
  <c r="AF63" i="1" s="1"/>
  <c r="AD64" i="1"/>
  <c r="AE64" i="1"/>
  <c r="AF64" i="1" s="1"/>
  <c r="AD65" i="1"/>
  <c r="AE65" i="1"/>
  <c r="AF65" i="1" s="1"/>
  <c r="AD66" i="1"/>
  <c r="AE66" i="1"/>
  <c r="AF15" i="1" l="1"/>
  <c r="AF62" i="1"/>
  <c r="AF66" i="1"/>
  <c r="AF32" i="1"/>
  <c r="AF6" i="1"/>
  <c r="AF41" i="1"/>
  <c r="AF53" i="1"/>
  <c r="AF37" i="2"/>
  <c r="AF11" i="2"/>
  <c r="AF59" i="2"/>
  <c r="AF44" i="3"/>
  <c r="AF32" i="3"/>
  <c r="AF6" i="3"/>
  <c r="AF42" i="3"/>
  <c r="AF56" i="3"/>
  <c r="AF61" i="3"/>
  <c r="AF30" i="3"/>
  <c r="AF54" i="3"/>
  <c r="AF5" i="1"/>
  <c r="AF54" i="1"/>
  <c r="AF42" i="1"/>
  <c r="AF31" i="1"/>
  <c r="AF61" i="1"/>
  <c r="AF31" i="3"/>
  <c r="AF18" i="3"/>
  <c r="AF4" i="1"/>
  <c r="AF12" i="1"/>
  <c r="AF28" i="1"/>
  <c r="AF30" i="1"/>
  <c r="AF18" i="1"/>
  <c r="AF50" i="1"/>
  <c r="AF17" i="1"/>
  <c r="AF58" i="2"/>
  <c r="AF22" i="2"/>
  <c r="AF62" i="2"/>
  <c r="AF35" i="2"/>
  <c r="AF51" i="2"/>
  <c r="AF63" i="2"/>
  <c r="AF29" i="2"/>
  <c r="AF47" i="2"/>
  <c r="AF34" i="2"/>
  <c r="AF23" i="2"/>
  <c r="AF39" i="2"/>
  <c r="AF17" i="2"/>
  <c r="AF46" i="2"/>
  <c r="AF27" i="2"/>
  <c r="AF15" i="2"/>
  <c r="AF5" i="3"/>
  <c r="AF17" i="3"/>
  <c r="AF29" i="3"/>
  <c r="AF41" i="3"/>
  <c r="AF53" i="3"/>
  <c r="AF65" i="3"/>
  <c r="AF66" i="3"/>
  <c r="AF10" i="3"/>
  <c r="AF22" i="3"/>
  <c r="AF34" i="3"/>
  <c r="AF46" i="3"/>
  <c r="AF58" i="3"/>
  <c r="AF57" i="3"/>
  <c r="AF24" i="3"/>
  <c r="AF3" i="3"/>
  <c r="AF15" i="3"/>
  <c r="AF27" i="3"/>
  <c r="AF39" i="3"/>
  <c r="AF51" i="3"/>
  <c r="AF63" i="3"/>
  <c r="AF35" i="3"/>
  <c r="AF47" i="3"/>
  <c r="AF59" i="3"/>
  <c r="AF7" i="3"/>
  <c r="AF36" i="3"/>
  <c r="AF48" i="3"/>
  <c r="AF60" i="3"/>
  <c r="AF33" i="3"/>
  <c r="AF9" i="3"/>
  <c r="AF2" i="3"/>
  <c r="AF14" i="3"/>
  <c r="AF26" i="3"/>
  <c r="AF38" i="3"/>
  <c r="AF50" i="3"/>
  <c r="AF62" i="3"/>
  <c r="AF55" i="3"/>
  <c r="AF21" i="3"/>
  <c r="AF19" i="3"/>
  <c r="AF23" i="3"/>
  <c r="AF40" i="3"/>
  <c r="AF52" i="3"/>
  <c r="AF64" i="3"/>
  <c r="AF45" i="3"/>
  <c r="AF11" i="3"/>
  <c r="AF20" i="3"/>
  <c r="AF12" i="3"/>
  <c r="AF43" i="3"/>
  <c r="AF8" i="3"/>
  <c r="AF61" i="2"/>
  <c r="AF3" i="2"/>
  <c r="AF64" i="2"/>
  <c r="AF60" i="2"/>
  <c r="AF36" i="2"/>
  <c r="AF41" i="2"/>
  <c r="AF53" i="2"/>
  <c r="AF65" i="2"/>
  <c r="AF25" i="2"/>
  <c r="AF4" i="2"/>
  <c r="AF6" i="2"/>
  <c r="AF2" i="2"/>
  <c r="AF48" i="2"/>
  <c r="AF7" i="2"/>
  <c r="AF19" i="2"/>
  <c r="AF31" i="2"/>
  <c r="AF43" i="2"/>
  <c r="AF55" i="2"/>
  <c r="AF16" i="2"/>
  <c r="AF8" i="2"/>
  <c r="AF28" i="2"/>
  <c r="AF24" i="2"/>
  <c r="AF9" i="2"/>
  <c r="AF26" i="2"/>
  <c r="AF57" i="2"/>
  <c r="AF12" i="2"/>
  <c r="AF49" i="2"/>
  <c r="AF14" i="2"/>
  <c r="AF40" i="2"/>
  <c r="AF10" i="2"/>
  <c r="AF13" i="2"/>
  <c r="AF38" i="2"/>
  <c r="AF5" i="2"/>
  <c r="AF50" i="2"/>
  <c r="AF52" i="2"/>
  <c r="AF13" i="1"/>
  <c r="AF29" i="1"/>
  <c r="AF8" i="1"/>
  <c r="AF51" i="1"/>
  <c r="AF38" i="1"/>
  <c r="AF37" i="1"/>
  <c r="AF16" i="1"/>
  <c r="AF45" i="1"/>
  <c r="AF34" i="1"/>
  <c r="AF3" i="1"/>
</calcChain>
</file>

<file path=xl/sharedStrings.xml><?xml version="1.0" encoding="utf-8"?>
<sst xmlns="http://schemas.openxmlformats.org/spreadsheetml/2006/main" count="282" uniqueCount="7">
  <si>
    <t>Date</t>
  </si>
  <si>
    <t>预测结果_Y</t>
  </si>
  <si>
    <t>CV value</t>
    <phoneticPr fontId="1" type="noConversion"/>
  </si>
  <si>
    <t>RO</t>
  </si>
  <si>
    <t>RR</t>
  </si>
  <si>
    <t>AB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</si>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</sst>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 applyAlignment="1"/>
    <xf numFmtId="0" fontId="0" fillId="0" borderId="0" xfId="0" applyFill="1" applyAlignment="1"/>
    <xf numFmtId="22" fontId="2" fillId="0" borderId="0" xfId="0" applyNumberFormat="1" applyFont="1" applyFill="1" applyAlignment="1">
      <alignment horizontal="center" vertical="center"/>
    </xf>
    <xf numFmtId="22" fontId="2" fillId="0" borderId="0" xfId="0" applyNumberFormat="1" applyFont="1" applyFill="1" applyAlignment="1">
      <alignment horizontal="center" vertical="center" wrapText="1"/>
    </xf>
    <xf numFmtId="0" fontId="0" fillId="0" borderId="0" xfId="0" applyFill="1">
      <alignment vertical="center"/>
    </xf>
    <xf numFmtId="22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3440F9C4-09F2-4158-9053-AC17F655F5EC}">
          <cx:tx>
            <cx:txData>
              <cx:f>_xlchart.v1.2</cx:f>
              <cx:v>CV 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4ED28341-A103-429E-8C92-B0CAE6043B28}">
          <cx:tx>
            <cx:txData>
              <cx:f>_xlchart.v1.4</cx:f>
              <cx:v>CV 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boxWhisker" uniqueId="{AAC6F022-7EE8-4E24-832A-E2A3C2FDD9DA}">
          <cx:tx>
            <cx:txData>
              <cx:f>_xlchart.v1.6</cx:f>
              <cx:v>CV 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385762</xdr:colOff>
      <xdr:row>6</xdr:row>
      <xdr:rowOff>4762</xdr:rowOff>
    </xdr:from>
    <xdr:to>
      <xdr:col>39</xdr:col>
      <xdr:colOff>157162</xdr:colOff>
      <xdr:row>20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F49DA939-C4C9-F65D-0A69-161459EAD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60012" y="11287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223837</xdr:colOff>
      <xdr:row>5</xdr:row>
      <xdr:rowOff>23812</xdr:rowOff>
    </xdr:from>
    <xdr:to>
      <xdr:col>38</xdr:col>
      <xdr:colOff>681037</xdr:colOff>
      <xdr:row>19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32058625-E829-5B5A-D9E0-681D13DC3C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98087" y="957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285750</xdr:colOff>
      <xdr:row>4</xdr:row>
      <xdr:rowOff>141194</xdr:rowOff>
    </xdr:from>
    <xdr:to>
      <xdr:col>39</xdr:col>
      <xdr:colOff>72838</xdr:colOff>
      <xdr:row>19</xdr:row>
      <xdr:rowOff>26894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13012F02-D6BD-FB06-F657-82CD7B1A9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02632" y="88078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"/>
  <sheetViews>
    <sheetView workbookViewId="0">
      <selection activeCell="AL29" sqref="AL29"/>
    </sheetView>
  </sheetViews>
  <sheetFormatPr defaultColWidth="9" defaultRowHeight="13.5" x14ac:dyDescent="0.15"/>
  <cols>
    <col min="2" max="2" width="17.25" style="6" bestFit="1" customWidth="1"/>
  </cols>
  <sheetData>
    <row r="1" spans="1:32" x14ac:dyDescent="0.15">
      <c r="A1" s="1"/>
      <c r="B1" s="3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/>
      <c r="AE1" s="1"/>
      <c r="AF1" s="1" t="s">
        <v>2</v>
      </c>
    </row>
    <row r="2" spans="1:32" ht="15" x14ac:dyDescent="0.15">
      <c r="A2" t="s">
        <v>3</v>
      </c>
      <c r="B2" s="4">
        <v>43274.208333333336</v>
      </c>
      <c r="C2" s="1">
        <v>68.444236107393294</v>
      </c>
      <c r="D2" s="1">
        <v>76.983416894519493</v>
      </c>
      <c r="E2" s="1">
        <v>72.941999334281604</v>
      </c>
      <c r="F2" s="1">
        <v>70.120980021816607</v>
      </c>
      <c r="G2" s="1">
        <v>67.647418665945693</v>
      </c>
      <c r="H2" s="1">
        <v>62.453573844077702</v>
      </c>
      <c r="I2" s="1">
        <v>76.208915344138504</v>
      </c>
      <c r="J2" s="1">
        <v>72.450653471793103</v>
      </c>
      <c r="K2" s="1">
        <v>73.742582827224695</v>
      </c>
      <c r="L2" s="1">
        <v>71.093525285010003</v>
      </c>
      <c r="M2" s="1">
        <v>82.136848380685294</v>
      </c>
      <c r="N2" s="1">
        <v>79.917040006471098</v>
      </c>
      <c r="O2" s="1">
        <v>75.112251024962106</v>
      </c>
      <c r="P2" s="1">
        <v>81.551804036297</v>
      </c>
      <c r="Q2" s="1">
        <v>71.927282380699296</v>
      </c>
      <c r="R2" s="1">
        <v>76.258995126357107</v>
      </c>
      <c r="S2" s="1">
        <v>68.551033018186899</v>
      </c>
      <c r="T2" s="1">
        <v>71.426629304512304</v>
      </c>
      <c r="U2" s="1">
        <v>67.227807058069999</v>
      </c>
      <c r="V2" s="1">
        <v>72.761906000664894</v>
      </c>
      <c r="W2" s="1">
        <v>77.954913098196499</v>
      </c>
      <c r="X2" s="1">
        <v>72.369250449129396</v>
      </c>
      <c r="Y2" s="1">
        <v>85.100454564684398</v>
      </c>
      <c r="Z2" s="1">
        <v>77.513649956243796</v>
      </c>
      <c r="AA2" s="1">
        <v>68.558383136525705</v>
      </c>
      <c r="AB2" s="1">
        <v>77.090878801164905</v>
      </c>
      <c r="AC2" s="1">
        <v>68.542983871075904</v>
      </c>
      <c r="AD2" s="1">
        <f>AVERAGE(C2:AC2)</f>
        <v>73.558867111486208</v>
      </c>
      <c r="AE2" s="1">
        <f>_xlfn.STDEV.P(C2:AC2)</f>
        <v>5.1480061769397167</v>
      </c>
      <c r="AF2" s="1">
        <f>AE2/AD2</f>
        <v>6.9984848585791445E-2</v>
      </c>
    </row>
    <row r="3" spans="1:32" ht="15" x14ac:dyDescent="0.15">
      <c r="A3" t="s">
        <v>3</v>
      </c>
      <c r="B3" s="4">
        <v>43294.954861111109</v>
      </c>
      <c r="C3" s="1">
        <v>143.35112656735501</v>
      </c>
      <c r="D3" s="1">
        <v>142.25403467548401</v>
      </c>
      <c r="E3" s="1">
        <v>142.15862793011999</v>
      </c>
      <c r="F3" s="1">
        <v>125.211390342512</v>
      </c>
      <c r="G3" s="1">
        <v>125.46936768063399</v>
      </c>
      <c r="H3" s="1">
        <v>113.21025811216801</v>
      </c>
      <c r="I3" s="1">
        <v>115.13662336509201</v>
      </c>
      <c r="J3" s="1">
        <v>127.828486224055</v>
      </c>
      <c r="K3" s="1">
        <v>124.070148861219</v>
      </c>
      <c r="L3" s="1">
        <v>140.78369729578799</v>
      </c>
      <c r="M3" s="1">
        <v>120.172511212657</v>
      </c>
      <c r="N3" s="1">
        <v>118.768829619748</v>
      </c>
      <c r="O3" s="1">
        <v>121.31984800558899</v>
      </c>
      <c r="P3" s="1">
        <v>120.82870285275099</v>
      </c>
      <c r="Q3" s="1">
        <v>131.83655582005801</v>
      </c>
      <c r="R3" s="1">
        <v>119.859777777175</v>
      </c>
      <c r="S3" s="1">
        <v>153.629854497629</v>
      </c>
      <c r="T3" s="1">
        <v>131.559322818173</v>
      </c>
      <c r="U3" s="1">
        <v>118.406704577523</v>
      </c>
      <c r="V3" s="1">
        <v>121.494181166921</v>
      </c>
      <c r="W3" s="1">
        <v>131.83735987310001</v>
      </c>
      <c r="X3" s="1">
        <v>143.93932172896299</v>
      </c>
      <c r="Y3" s="1">
        <v>128.40829705471</v>
      </c>
      <c r="Z3" s="1">
        <v>137.55832236968999</v>
      </c>
      <c r="AA3" s="1">
        <v>135.53801540050699</v>
      </c>
      <c r="AB3" s="1">
        <v>135.809702588947</v>
      </c>
      <c r="AC3" s="1">
        <v>137.88032642256999</v>
      </c>
      <c r="AD3" s="1">
        <f>AVERAGE(C3:AC3)</f>
        <v>129.93782943856064</v>
      </c>
      <c r="AE3" s="1">
        <f>_xlfn.STDEV.P(C3:AC3)</f>
        <v>10.216859641467826</v>
      </c>
      <c r="AF3" s="1">
        <f>AE3/AD3</f>
        <v>7.8628831077240141E-2</v>
      </c>
    </row>
    <row r="4" spans="1:32" ht="15" x14ac:dyDescent="0.15">
      <c r="A4" t="s">
        <v>3</v>
      </c>
      <c r="B4" s="4">
        <v>43299.520833333336</v>
      </c>
      <c r="C4" s="1">
        <v>192.39212566137101</v>
      </c>
      <c r="D4" s="1">
        <v>172.11149680191701</v>
      </c>
      <c r="E4" s="1">
        <v>209.621576930255</v>
      </c>
      <c r="F4" s="1">
        <v>202.834289350951</v>
      </c>
      <c r="G4" s="1">
        <v>185.90141616150001</v>
      </c>
      <c r="H4" s="1">
        <v>194.45770823305199</v>
      </c>
      <c r="I4" s="1">
        <v>183.39313924483201</v>
      </c>
      <c r="J4" s="1">
        <v>202.14618568020899</v>
      </c>
      <c r="K4" s="1">
        <v>189.09152285247899</v>
      </c>
      <c r="L4" s="1">
        <v>199.20182006532701</v>
      </c>
      <c r="M4" s="1">
        <v>194.322196035617</v>
      </c>
      <c r="N4" s="1">
        <v>189.55596402903299</v>
      </c>
      <c r="O4" s="1">
        <v>181.099570233734</v>
      </c>
      <c r="P4" s="1">
        <v>194.84547832403001</v>
      </c>
      <c r="Q4" s="1">
        <v>189.03986787133499</v>
      </c>
      <c r="R4" s="1">
        <v>192.351618067027</v>
      </c>
      <c r="S4" s="1">
        <v>199.07500187035299</v>
      </c>
      <c r="T4" s="1">
        <v>185.522994311047</v>
      </c>
      <c r="U4" s="1">
        <v>201.63695666872599</v>
      </c>
      <c r="V4" s="1">
        <v>198.64241080151399</v>
      </c>
      <c r="W4" s="1">
        <v>190.41869055414699</v>
      </c>
      <c r="X4" s="1">
        <v>189.39076137597999</v>
      </c>
      <c r="Y4" s="1">
        <v>200.072247986641</v>
      </c>
      <c r="Z4" s="1">
        <v>191.172791480276</v>
      </c>
      <c r="AA4" s="1">
        <v>195.13678268137099</v>
      </c>
      <c r="AB4" s="1">
        <v>205.466377216962</v>
      </c>
      <c r="AC4" s="1">
        <v>198.70336617800999</v>
      </c>
      <c r="AD4" s="1">
        <f>AVERAGE(C4:AC4)</f>
        <v>193.61497617287762</v>
      </c>
      <c r="AE4" s="1">
        <f>_xlfn.STDEV.P(C4:AC4)</f>
        <v>7.9842659662957516</v>
      </c>
      <c r="AF4" s="1">
        <f>AE4/AD4</f>
        <v>4.1237853208042387E-2</v>
      </c>
    </row>
    <row r="5" spans="1:32" ht="15" x14ac:dyDescent="0.15">
      <c r="A5" t="s">
        <v>3</v>
      </c>
      <c r="B5" s="4">
        <v>43304.659722222219</v>
      </c>
      <c r="C5" s="1">
        <v>195.433687532774</v>
      </c>
      <c r="D5" s="1">
        <v>195.88847860160899</v>
      </c>
      <c r="E5" s="1">
        <v>180.058360131759</v>
      </c>
      <c r="F5" s="1">
        <v>187.187668164587</v>
      </c>
      <c r="G5" s="1">
        <v>192.463963272369</v>
      </c>
      <c r="H5" s="1">
        <v>206.41963732658201</v>
      </c>
      <c r="I5" s="1">
        <v>190.514392182205</v>
      </c>
      <c r="J5" s="1">
        <v>202.40085742833199</v>
      </c>
      <c r="K5" s="1">
        <v>195.00008929636999</v>
      </c>
      <c r="L5" s="1">
        <v>204.34574734622299</v>
      </c>
      <c r="M5" s="1">
        <v>185.657235400042</v>
      </c>
      <c r="N5" s="1">
        <v>194.794159031601</v>
      </c>
      <c r="O5" s="1">
        <v>202.883240480117</v>
      </c>
      <c r="P5" s="1">
        <v>193.820236384281</v>
      </c>
      <c r="Q5" s="1">
        <v>192.747654913063</v>
      </c>
      <c r="R5" s="1">
        <v>176.20243294417699</v>
      </c>
      <c r="S5" s="1">
        <v>194.29650119513701</v>
      </c>
      <c r="T5" s="1">
        <v>193.09325330755701</v>
      </c>
      <c r="U5" s="1">
        <v>181.75775662745301</v>
      </c>
      <c r="V5" s="1">
        <v>196.410471963064</v>
      </c>
      <c r="W5" s="1">
        <v>189.216969036633</v>
      </c>
      <c r="X5" s="1">
        <v>207.24292570778599</v>
      </c>
      <c r="Y5" s="1">
        <v>197.57824463476001</v>
      </c>
      <c r="Z5" s="1">
        <v>184.71474711454599</v>
      </c>
      <c r="AA5" s="1">
        <v>201.23903329554099</v>
      </c>
      <c r="AB5" s="1">
        <v>208.39514766706</v>
      </c>
      <c r="AC5" s="1">
        <v>195.040759956046</v>
      </c>
      <c r="AD5" s="1">
        <f>AVERAGE(C5:AC5)</f>
        <v>194.25198707191387</v>
      </c>
      <c r="AE5" s="1">
        <f>_xlfn.STDEV.P(C5:AC5)</f>
        <v>8.1060577066898585</v>
      </c>
      <c r="AF5" s="1">
        <f>AE5/AD5</f>
        <v>4.1729599932941334E-2</v>
      </c>
    </row>
    <row r="6" spans="1:32" ht="15" x14ac:dyDescent="0.15">
      <c r="A6" t="s">
        <v>3</v>
      </c>
      <c r="B6" s="4">
        <v>43306.802083333336</v>
      </c>
      <c r="C6" s="1">
        <v>131.50059524009399</v>
      </c>
      <c r="D6" s="1">
        <v>125.141548649068</v>
      </c>
      <c r="E6" s="1">
        <v>126.446072551509</v>
      </c>
      <c r="F6" s="1">
        <v>133.56936758389401</v>
      </c>
      <c r="G6" s="1">
        <v>115.108776483722</v>
      </c>
      <c r="H6" s="1">
        <v>131.14544172092101</v>
      </c>
      <c r="I6" s="1">
        <v>120.57099245953199</v>
      </c>
      <c r="J6" s="1">
        <v>126.243384596704</v>
      </c>
      <c r="K6" s="1">
        <v>117.318133154679</v>
      </c>
      <c r="L6" s="1">
        <v>135.64745575664199</v>
      </c>
      <c r="M6" s="1">
        <v>132.04618146345899</v>
      </c>
      <c r="N6" s="1">
        <v>126.936084451033</v>
      </c>
      <c r="O6" s="1">
        <v>121.795078378521</v>
      </c>
      <c r="P6" s="1">
        <v>119.31723501162099</v>
      </c>
      <c r="Q6" s="1">
        <v>137.935434618155</v>
      </c>
      <c r="R6" s="1">
        <v>133.87017403855299</v>
      </c>
      <c r="S6" s="1">
        <v>154.99181277978801</v>
      </c>
      <c r="T6" s="1">
        <v>135.55585828369999</v>
      </c>
      <c r="U6" s="1">
        <v>120.522748949532</v>
      </c>
      <c r="V6" s="1">
        <v>126.12650957148399</v>
      </c>
      <c r="W6" s="1">
        <v>129.813173454078</v>
      </c>
      <c r="X6" s="1">
        <v>139.70221537921401</v>
      </c>
      <c r="Y6" s="1">
        <v>132.00678281856901</v>
      </c>
      <c r="Z6" s="1">
        <v>132.70352544506599</v>
      </c>
      <c r="AA6" s="1">
        <v>141.358284314353</v>
      </c>
      <c r="AB6" s="1">
        <v>135.63631393430401</v>
      </c>
      <c r="AC6" s="1">
        <v>138.98358647782501</v>
      </c>
      <c r="AD6" s="1">
        <f>AVERAGE(C6:AC6)</f>
        <v>130.44417657651925</v>
      </c>
      <c r="AE6" s="1">
        <f>_xlfn.STDEV.P(C6:AC6)</f>
        <v>8.487325471390621</v>
      </c>
      <c r="AF6" s="1">
        <f>AE6/AD6</f>
        <v>6.5064809285770686E-2</v>
      </c>
    </row>
    <row r="7" spans="1:32" ht="15" x14ac:dyDescent="0.15">
      <c r="A7" t="s">
        <v>3</v>
      </c>
      <c r="B7" s="4">
        <v>43313.333333333336</v>
      </c>
      <c r="C7" s="1">
        <v>123.21930098178601</v>
      </c>
      <c r="D7" s="1">
        <v>126.517813121383</v>
      </c>
      <c r="E7" s="1">
        <v>112.485118275383</v>
      </c>
      <c r="F7" s="1">
        <v>121.051947403729</v>
      </c>
      <c r="G7" s="1">
        <v>116.289963004573</v>
      </c>
      <c r="H7" s="1">
        <v>111.600041423221</v>
      </c>
      <c r="I7" s="1">
        <v>113.888625673744</v>
      </c>
      <c r="J7" s="1">
        <v>115.064846072138</v>
      </c>
      <c r="K7" s="1">
        <v>97.408463168888503</v>
      </c>
      <c r="L7" s="1">
        <v>110.743598103244</v>
      </c>
      <c r="M7" s="1">
        <v>118.324449110386</v>
      </c>
      <c r="N7" s="1">
        <v>115.701978220474</v>
      </c>
      <c r="O7" s="1">
        <v>118.209792750082</v>
      </c>
      <c r="P7" s="1">
        <v>110.202570976697</v>
      </c>
      <c r="Q7" s="1">
        <v>120.362441302747</v>
      </c>
      <c r="R7" s="1">
        <v>114.67291552426801</v>
      </c>
      <c r="S7" s="1">
        <v>134.97185650921401</v>
      </c>
      <c r="T7" s="1">
        <v>112.21183297031</v>
      </c>
      <c r="U7" s="1">
        <v>112.022656733663</v>
      </c>
      <c r="V7" s="1">
        <v>113.639251215908</v>
      </c>
      <c r="W7" s="1">
        <v>118.870075847023</v>
      </c>
      <c r="X7" s="1">
        <v>129.73326384203199</v>
      </c>
      <c r="Y7" s="1">
        <v>116.223366611614</v>
      </c>
      <c r="Z7" s="1">
        <v>127.8723243885</v>
      </c>
      <c r="AA7" s="1">
        <v>122.568468088877</v>
      </c>
      <c r="AB7" s="1">
        <v>115.790616271503</v>
      </c>
      <c r="AC7" s="1">
        <v>120.241223302683</v>
      </c>
      <c r="AD7" s="1">
        <f>AVERAGE(C7:AC7)</f>
        <v>117.40328892200263</v>
      </c>
      <c r="AE7" s="1">
        <f>_xlfn.STDEV.P(C7:AC7)</f>
        <v>7.213596063103985</v>
      </c>
      <c r="AF7" s="1">
        <f>AE7/AD7</f>
        <v>6.1442878894954707E-2</v>
      </c>
    </row>
    <row r="8" spans="1:32" ht="15" x14ac:dyDescent="0.15">
      <c r="A8" t="s">
        <v>3</v>
      </c>
      <c r="B8" s="4">
        <v>43315.666666666664</v>
      </c>
      <c r="C8" s="1">
        <v>122.339768965462</v>
      </c>
      <c r="D8" s="1">
        <v>117.442754996467</v>
      </c>
      <c r="E8" s="1">
        <v>115.750684502604</v>
      </c>
      <c r="F8" s="1">
        <v>117.744049893777</v>
      </c>
      <c r="G8" s="1">
        <v>109.127080649153</v>
      </c>
      <c r="H8" s="1">
        <v>108.798882520392</v>
      </c>
      <c r="I8" s="1">
        <v>105.086166364568</v>
      </c>
      <c r="J8" s="1">
        <v>114.583887162922</v>
      </c>
      <c r="K8" s="1">
        <v>112.841596468983</v>
      </c>
      <c r="L8" s="1">
        <v>119.38947018998201</v>
      </c>
      <c r="M8" s="1">
        <v>121.49059694699601</v>
      </c>
      <c r="N8" s="1">
        <v>105.506915771271</v>
      </c>
      <c r="O8" s="1">
        <v>117.15686270599601</v>
      </c>
      <c r="P8" s="1">
        <v>107.67123750558601</v>
      </c>
      <c r="Q8" s="1">
        <v>116.62621312861199</v>
      </c>
      <c r="R8" s="1">
        <v>116.65841113067999</v>
      </c>
      <c r="S8" s="1">
        <v>134.210452341999</v>
      </c>
      <c r="T8" s="1">
        <v>109.841865957628</v>
      </c>
      <c r="U8" s="1">
        <v>109.06140471540699</v>
      </c>
      <c r="V8" s="1">
        <v>109.29758182618799</v>
      </c>
      <c r="W8" s="1">
        <v>120.446128490183</v>
      </c>
      <c r="X8" s="1">
        <v>124.77175026753299</v>
      </c>
      <c r="Y8" s="1">
        <v>122.11471701819799</v>
      </c>
      <c r="Z8" s="1">
        <v>117.53414666688199</v>
      </c>
      <c r="AA8" s="1">
        <v>118.22420617704501</v>
      </c>
      <c r="AB8" s="1">
        <v>119.35159457977601</v>
      </c>
      <c r="AC8" s="1">
        <v>127.54259204657799</v>
      </c>
      <c r="AD8" s="1">
        <f>AVERAGE(C8:AC8)</f>
        <v>116.31892662929141</v>
      </c>
      <c r="AE8" s="1">
        <f>_xlfn.STDEV.P(C8:AC8)</f>
        <v>6.7893332813898422</v>
      </c>
      <c r="AF8" s="1">
        <f>AE8/AD8</f>
        <v>5.8368259389355075E-2</v>
      </c>
    </row>
    <row r="9" spans="1:32" ht="15" x14ac:dyDescent="0.15">
      <c r="A9" t="s">
        <v>3</v>
      </c>
      <c r="B9" s="4">
        <v>43324.409722222219</v>
      </c>
      <c r="C9" s="1">
        <v>119.88392158121501</v>
      </c>
      <c r="D9" s="1">
        <v>134.590577491716</v>
      </c>
      <c r="E9" s="1">
        <v>109.37209240416</v>
      </c>
      <c r="F9" s="1">
        <v>112.631686992306</v>
      </c>
      <c r="G9" s="1">
        <v>115.087872684798</v>
      </c>
      <c r="H9" s="1">
        <v>99.261940298235302</v>
      </c>
      <c r="I9" s="1">
        <v>98.303461515803903</v>
      </c>
      <c r="J9" s="1">
        <v>127.63798078747</v>
      </c>
      <c r="K9" s="1">
        <v>110.400561558121</v>
      </c>
      <c r="L9" s="1">
        <v>110.006320439578</v>
      </c>
      <c r="M9" s="1">
        <v>116.52547575382199</v>
      </c>
      <c r="N9" s="1">
        <v>113.19350693107</v>
      </c>
      <c r="O9" s="1">
        <v>119.155818874055</v>
      </c>
      <c r="P9" s="1">
        <v>118.07064425006899</v>
      </c>
      <c r="Q9" s="1">
        <v>119.658105759761</v>
      </c>
      <c r="R9" s="1">
        <v>109.179925438792</v>
      </c>
      <c r="S9" s="1">
        <v>134.39571103074999</v>
      </c>
      <c r="T9" s="1">
        <v>118.736615204427</v>
      </c>
      <c r="U9" s="1">
        <v>110.793960651067</v>
      </c>
      <c r="V9" s="1">
        <v>113.56506610428799</v>
      </c>
      <c r="W9" s="1">
        <v>135.74453005355801</v>
      </c>
      <c r="X9" s="1">
        <v>128.12773318772199</v>
      </c>
      <c r="Y9" s="1">
        <v>117.382244881764</v>
      </c>
      <c r="Z9" s="1">
        <v>119.17389466217899</v>
      </c>
      <c r="AA9" s="1">
        <v>124.96546292656301</v>
      </c>
      <c r="AB9" s="1">
        <v>109.112751106922</v>
      </c>
      <c r="AC9" s="1">
        <v>120.142639005326</v>
      </c>
      <c r="AD9" s="1">
        <f>AVERAGE(C9:AC9)</f>
        <v>117.2259445027977</v>
      </c>
      <c r="AE9" s="1">
        <f>_xlfn.STDEV.P(C9:AC9)</f>
        <v>9.2843507020944838</v>
      </c>
      <c r="AF9" s="1">
        <f>AE9/AD9</f>
        <v>7.9200476835338304E-2</v>
      </c>
    </row>
    <row r="10" spans="1:32" ht="15" x14ac:dyDescent="0.15">
      <c r="A10" t="s">
        <v>3</v>
      </c>
      <c r="B10" s="4">
        <v>43346.197916666664</v>
      </c>
      <c r="C10" s="1">
        <v>206.73207485248199</v>
      </c>
      <c r="D10" s="1">
        <v>193.781754414468</v>
      </c>
      <c r="E10" s="1">
        <v>202.08093906595701</v>
      </c>
      <c r="F10" s="1">
        <v>199.555202593052</v>
      </c>
      <c r="G10" s="1">
        <v>188.13176840745501</v>
      </c>
      <c r="H10" s="1">
        <v>207.60739567247799</v>
      </c>
      <c r="I10" s="1">
        <v>179.61152945401</v>
      </c>
      <c r="J10" s="1">
        <v>227.48294208447601</v>
      </c>
      <c r="K10" s="1">
        <v>218.51939986568399</v>
      </c>
      <c r="L10" s="1">
        <v>211.66418218691999</v>
      </c>
      <c r="M10" s="1">
        <v>198.91543137409101</v>
      </c>
      <c r="N10" s="1">
        <v>202.17488433650001</v>
      </c>
      <c r="O10" s="1">
        <v>165.31004796883201</v>
      </c>
      <c r="P10" s="1">
        <v>218.22934507711301</v>
      </c>
      <c r="Q10" s="1">
        <v>191.02546957346499</v>
      </c>
      <c r="R10" s="1">
        <v>187.406049413533</v>
      </c>
      <c r="S10" s="1">
        <v>213.95434520553999</v>
      </c>
      <c r="T10" s="1">
        <v>200.21864667637001</v>
      </c>
      <c r="U10" s="1">
        <v>199.41744643950301</v>
      </c>
      <c r="V10" s="1">
        <v>198.612515923877</v>
      </c>
      <c r="W10" s="1">
        <v>196.932392977749</v>
      </c>
      <c r="X10" s="1">
        <v>202.13628604213699</v>
      </c>
      <c r="Y10" s="1">
        <v>196.15217607012801</v>
      </c>
      <c r="Z10" s="1">
        <v>191.084839754168</v>
      </c>
      <c r="AA10" s="1">
        <v>196.0781467674</v>
      </c>
      <c r="AB10" s="1">
        <v>202.65410921094599</v>
      </c>
      <c r="AC10" s="1">
        <v>203.94594642743201</v>
      </c>
      <c r="AD10" s="1">
        <f>AVERAGE(C10:AC10)</f>
        <v>199.97834325317649</v>
      </c>
      <c r="AE10" s="1">
        <f>_xlfn.STDEV.P(C10:AC10)</f>
        <v>12.264527223830136</v>
      </c>
      <c r="AF10" s="1">
        <f>AE10/AD10</f>
        <v>6.1329277082283883E-2</v>
      </c>
    </row>
    <row r="11" spans="1:32" ht="15" x14ac:dyDescent="0.15">
      <c r="A11" t="s">
        <v>3</v>
      </c>
      <c r="B11" s="4">
        <v>43369.951388888891</v>
      </c>
      <c r="C11" s="1">
        <v>84.086108866804693</v>
      </c>
      <c r="D11" s="1">
        <v>92.799773326449795</v>
      </c>
      <c r="E11" s="1">
        <v>89.604170177102901</v>
      </c>
      <c r="F11" s="1">
        <v>83.871413062323001</v>
      </c>
      <c r="G11" s="1">
        <v>68.359762967899002</v>
      </c>
      <c r="H11" s="1">
        <v>92.858916430710494</v>
      </c>
      <c r="I11" s="1">
        <v>79.147277411508398</v>
      </c>
      <c r="J11" s="1">
        <v>82.2402426955924</v>
      </c>
      <c r="K11" s="1">
        <v>89.138387133965296</v>
      </c>
      <c r="L11" s="1">
        <v>87.704617273968495</v>
      </c>
      <c r="M11" s="1">
        <v>69.948187798167197</v>
      </c>
      <c r="N11" s="1">
        <v>80.442696568304498</v>
      </c>
      <c r="O11" s="1">
        <v>84.669209201363898</v>
      </c>
      <c r="P11" s="1">
        <v>76.899250071828206</v>
      </c>
      <c r="Q11" s="1">
        <v>76.077851610807002</v>
      </c>
      <c r="R11" s="1">
        <v>86.875098423275602</v>
      </c>
      <c r="S11" s="1">
        <v>91.1815353484741</v>
      </c>
      <c r="T11" s="1">
        <v>75.978293545236696</v>
      </c>
      <c r="U11" s="1">
        <v>88.120099081777695</v>
      </c>
      <c r="V11" s="1">
        <v>89.428062016805697</v>
      </c>
      <c r="W11" s="1">
        <v>85.639802603109004</v>
      </c>
      <c r="X11" s="1">
        <v>86.662557290775894</v>
      </c>
      <c r="Y11" s="1">
        <v>89.086464994907004</v>
      </c>
      <c r="Z11" s="1">
        <v>84.984757240680906</v>
      </c>
      <c r="AA11" s="1">
        <v>85.619185784775993</v>
      </c>
      <c r="AB11" s="1">
        <v>80.558314002657795</v>
      </c>
      <c r="AC11" s="1">
        <v>83.905100805261895</v>
      </c>
      <c r="AD11" s="1">
        <f>AVERAGE(C11:AC11)</f>
        <v>83.921745767945694</v>
      </c>
      <c r="AE11" s="1">
        <f>_xlfn.STDEV.P(C11:AC11)</f>
        <v>6.2183476655219136</v>
      </c>
      <c r="AF11" s="1">
        <f>AE11/AD11</f>
        <v>7.4096976994692601E-2</v>
      </c>
    </row>
    <row r="12" spans="1:32" ht="15" x14ac:dyDescent="0.15">
      <c r="A12" t="s">
        <v>3</v>
      </c>
      <c r="B12" s="5">
        <v>43587.746527777781</v>
      </c>
      <c r="C12" s="1">
        <v>136.578179625404</v>
      </c>
      <c r="D12" s="1">
        <v>137.91289713879399</v>
      </c>
      <c r="E12" s="1">
        <v>126.479057609373</v>
      </c>
      <c r="F12" s="1">
        <v>128.83936925777101</v>
      </c>
      <c r="G12" s="1">
        <v>120.374533561072</v>
      </c>
      <c r="H12" s="1">
        <v>114.66093423687499</v>
      </c>
      <c r="I12" s="1">
        <v>112.198284778512</v>
      </c>
      <c r="J12" s="1">
        <v>135.09642668307501</v>
      </c>
      <c r="K12" s="1">
        <v>125.493325329461</v>
      </c>
      <c r="L12" s="1">
        <v>131.730656177572</v>
      </c>
      <c r="M12" s="1">
        <v>127.20865860012201</v>
      </c>
      <c r="N12" s="1">
        <v>113.794376545535</v>
      </c>
      <c r="O12" s="1">
        <v>117.612806760347</v>
      </c>
      <c r="P12" s="1">
        <v>124.448856983341</v>
      </c>
      <c r="Q12" s="1">
        <v>128.34521180599199</v>
      </c>
      <c r="R12" s="1">
        <v>119.252253483647</v>
      </c>
      <c r="S12" s="1">
        <v>153.983999341367</v>
      </c>
      <c r="T12" s="1">
        <v>126.363614784376</v>
      </c>
      <c r="U12" s="1">
        <v>119.206572855613</v>
      </c>
      <c r="V12" s="1">
        <v>117.163606128309</v>
      </c>
      <c r="W12" s="1">
        <v>127.81386522904199</v>
      </c>
      <c r="X12" s="1">
        <v>137.88129827305801</v>
      </c>
      <c r="Y12" s="1">
        <v>121.120195249354</v>
      </c>
      <c r="Z12" s="1">
        <v>137.38015819411399</v>
      </c>
      <c r="AA12" s="1">
        <v>134.418493105995</v>
      </c>
      <c r="AB12" s="1">
        <v>130.63080549694899</v>
      </c>
      <c r="AC12" s="1">
        <v>132.37289433571101</v>
      </c>
      <c r="AD12" s="1">
        <f>AVERAGE(C12:AC12)</f>
        <v>127.34671598410297</v>
      </c>
      <c r="AE12" s="1">
        <f>_xlfn.STDEV.P(C12:AC12)</f>
        <v>9.2136836532077684</v>
      </c>
      <c r="AF12" s="1">
        <f>AE12/AD12</f>
        <v>7.2351168084757972E-2</v>
      </c>
    </row>
    <row r="13" spans="1:32" ht="15" x14ac:dyDescent="0.15">
      <c r="A13" t="s">
        <v>3</v>
      </c>
      <c r="B13" s="5">
        <v>43592.670138888891</v>
      </c>
      <c r="C13" s="1">
        <v>128.57735405823499</v>
      </c>
      <c r="D13" s="1">
        <v>133.371597174491</v>
      </c>
      <c r="E13" s="1">
        <v>123.985932997948</v>
      </c>
      <c r="F13" s="1">
        <v>126.32999220559</v>
      </c>
      <c r="G13" s="1">
        <v>113.014212888469</v>
      </c>
      <c r="H13" s="1">
        <v>110.879761095891</v>
      </c>
      <c r="I13" s="1">
        <v>106.416757157741</v>
      </c>
      <c r="J13" s="1">
        <v>122.142795040248</v>
      </c>
      <c r="K13" s="1">
        <v>114.249326383708</v>
      </c>
      <c r="L13" s="1">
        <v>122.538464135699</v>
      </c>
      <c r="M13" s="1">
        <v>114.34141937974699</v>
      </c>
      <c r="N13" s="1">
        <v>114.95226962076499</v>
      </c>
      <c r="O13" s="1">
        <v>115.81396355782999</v>
      </c>
      <c r="P13" s="1">
        <v>112.95967583602101</v>
      </c>
      <c r="Q13" s="1">
        <v>118.50641713245599</v>
      </c>
      <c r="R13" s="1">
        <v>113.85801238082701</v>
      </c>
      <c r="S13" s="1">
        <v>148.048608019195</v>
      </c>
      <c r="T13" s="1">
        <v>115.549255127946</v>
      </c>
      <c r="U13" s="1">
        <v>108.068727968159</v>
      </c>
      <c r="V13" s="1">
        <v>112.04668527206999</v>
      </c>
      <c r="W13" s="1">
        <v>123.982761538907</v>
      </c>
      <c r="X13" s="1">
        <v>133.38046635120301</v>
      </c>
      <c r="Y13" s="1">
        <v>125.995676805348</v>
      </c>
      <c r="Z13" s="1">
        <v>122.89685472731</v>
      </c>
      <c r="AA13" s="1">
        <v>117.628610056341</v>
      </c>
      <c r="AB13" s="1">
        <v>123.988146762639</v>
      </c>
      <c r="AC13" s="1">
        <v>133.856916859573</v>
      </c>
      <c r="AD13" s="1">
        <f>AVERAGE(C13:AC13)</f>
        <v>120.64372816793914</v>
      </c>
      <c r="AE13" s="1">
        <f>_xlfn.STDEV.P(C13:AC13)</f>
        <v>9.2038596146556841</v>
      </c>
      <c r="AF13" s="1">
        <f>AE13/AD13</f>
        <v>7.6289582180713758E-2</v>
      </c>
    </row>
    <row r="14" spans="1:32" ht="15" x14ac:dyDescent="0.15">
      <c r="A14" t="s">
        <v>3</v>
      </c>
      <c r="B14" s="5">
        <v>43622.885416666664</v>
      </c>
      <c r="C14" s="1">
        <v>103.70839750206</v>
      </c>
      <c r="D14" s="1">
        <v>71.077768873038707</v>
      </c>
      <c r="E14" s="1">
        <v>129.98242217274901</v>
      </c>
      <c r="F14" s="1">
        <v>103.065615755324</v>
      </c>
      <c r="G14" s="1">
        <v>109.546230848645</v>
      </c>
      <c r="H14" s="1">
        <v>96.986682284530701</v>
      </c>
      <c r="I14" s="1">
        <v>97.820350089116602</v>
      </c>
      <c r="J14" s="1">
        <v>124.481070800941</v>
      </c>
      <c r="K14" s="1">
        <v>90.439988454048006</v>
      </c>
      <c r="L14" s="1">
        <v>56.374853526478098</v>
      </c>
      <c r="M14" s="1">
        <v>105.41401776783999</v>
      </c>
      <c r="N14" s="1">
        <v>123.87664223063101</v>
      </c>
      <c r="O14" s="1">
        <v>113.23391527717099</v>
      </c>
      <c r="P14" s="1">
        <v>88.841613247046794</v>
      </c>
      <c r="Q14" s="1">
        <v>99.989986988165697</v>
      </c>
      <c r="R14" s="1">
        <v>96.986956282719902</v>
      </c>
      <c r="S14" s="1">
        <v>81.355216657434895</v>
      </c>
      <c r="T14" s="1">
        <v>122.28757363727399</v>
      </c>
      <c r="U14" s="1">
        <v>103.715509515858</v>
      </c>
      <c r="V14" s="1">
        <v>97.525908531703493</v>
      </c>
      <c r="W14" s="1">
        <v>90.316219487872402</v>
      </c>
      <c r="X14" s="1">
        <v>107.57922227914101</v>
      </c>
      <c r="Y14" s="1">
        <v>84.4078955230313</v>
      </c>
      <c r="Z14" s="1">
        <v>98.198445094201006</v>
      </c>
      <c r="AA14" s="1">
        <v>106.96497647886299</v>
      </c>
      <c r="AB14" s="1">
        <v>61.679701167877496</v>
      </c>
      <c r="AC14" s="1">
        <v>99.904192017475793</v>
      </c>
      <c r="AD14" s="1">
        <f>AVERAGE(C14:AC14)</f>
        <v>98.731902684860657</v>
      </c>
      <c r="AE14" s="1">
        <f>_xlfn.STDEV.P(C14:AC14)</f>
        <v>17.321545288055287</v>
      </c>
      <c r="AF14" s="1">
        <f>AE14/AD14</f>
        <v>0.17544020541509667</v>
      </c>
    </row>
    <row r="15" spans="1:32" ht="15" x14ac:dyDescent="0.15">
      <c r="A15" t="s">
        <v>3</v>
      </c>
      <c r="B15" s="5">
        <v>43624.8125</v>
      </c>
      <c r="C15" s="1">
        <v>121.36819851945801</v>
      </c>
      <c r="D15" s="1">
        <v>109.81505057418001</v>
      </c>
      <c r="E15" s="1">
        <v>111.434868095678</v>
      </c>
      <c r="F15" s="1">
        <v>118.93045759156</v>
      </c>
      <c r="G15" s="1">
        <v>113.78467570298299</v>
      </c>
      <c r="H15" s="1">
        <v>116.143622063341</v>
      </c>
      <c r="I15" s="1">
        <v>109.055449272263</v>
      </c>
      <c r="J15" s="1">
        <v>121.26094952296199</v>
      </c>
      <c r="K15" s="1">
        <v>120.299634418786</v>
      </c>
      <c r="L15" s="1">
        <v>119.978337248294</v>
      </c>
      <c r="M15" s="1">
        <v>124.027024366728</v>
      </c>
      <c r="N15" s="1">
        <v>107.62490866912</v>
      </c>
      <c r="O15" s="1">
        <v>116.175587502909</v>
      </c>
      <c r="P15" s="1">
        <v>116.357217947111</v>
      </c>
      <c r="Q15" s="1">
        <v>118.044010890538</v>
      </c>
      <c r="R15" s="1">
        <v>119.53190714761</v>
      </c>
      <c r="S15" s="1">
        <v>134.96402774466799</v>
      </c>
      <c r="T15" s="1">
        <v>114.969687137119</v>
      </c>
      <c r="U15" s="1">
        <v>111.57864368682699</v>
      </c>
      <c r="V15" s="1">
        <v>113.61582525401001</v>
      </c>
      <c r="W15" s="1">
        <v>122.925034550787</v>
      </c>
      <c r="X15" s="1">
        <v>128.08153005610001</v>
      </c>
      <c r="Y15" s="1">
        <v>121.913215619471</v>
      </c>
      <c r="Z15" s="1">
        <v>117.81210001996099</v>
      </c>
      <c r="AA15" s="1">
        <v>121.67468950476101</v>
      </c>
      <c r="AB15" s="1">
        <v>122.740902722442</v>
      </c>
      <c r="AC15" s="1">
        <v>129.74033424907799</v>
      </c>
      <c r="AD15" s="1">
        <f>AVERAGE(C15:AC15)</f>
        <v>118.66103296587941</v>
      </c>
      <c r="AE15" s="1">
        <f>_xlfn.STDEV.P(C15:AC15)</f>
        <v>6.25500935570909</v>
      </c>
      <c r="AF15" s="1">
        <f>AE15/AD15</f>
        <v>5.2713255559705914E-2</v>
      </c>
    </row>
    <row r="16" spans="1:32" ht="15" x14ac:dyDescent="0.15">
      <c r="A16" t="s">
        <v>3</v>
      </c>
      <c r="B16" s="5">
        <v>43632</v>
      </c>
      <c r="C16" s="1">
        <v>164.230636283618</v>
      </c>
      <c r="D16" s="1">
        <v>159.232971442093</v>
      </c>
      <c r="E16" s="1">
        <v>179.02637784095799</v>
      </c>
      <c r="F16" s="1">
        <v>175.14953440407601</v>
      </c>
      <c r="G16" s="1">
        <v>166.39768942862401</v>
      </c>
      <c r="H16" s="1">
        <v>174.46041276349499</v>
      </c>
      <c r="I16" s="1">
        <v>159.85372241931</v>
      </c>
      <c r="J16" s="1">
        <v>160.17368403346899</v>
      </c>
      <c r="K16" s="1">
        <v>185.424544695912</v>
      </c>
      <c r="L16" s="1">
        <v>172.53574775927001</v>
      </c>
      <c r="M16" s="1">
        <v>165.426470931154</v>
      </c>
      <c r="N16" s="1">
        <v>176.12559141033401</v>
      </c>
      <c r="O16" s="1">
        <v>171.31293304771199</v>
      </c>
      <c r="P16" s="1">
        <v>173.98456999939501</v>
      </c>
      <c r="Q16" s="1">
        <v>150.596564739488</v>
      </c>
      <c r="R16" s="1">
        <v>173.198385293153</v>
      </c>
      <c r="S16" s="1">
        <v>174.78678442569301</v>
      </c>
      <c r="T16" s="1">
        <v>167.59161493710701</v>
      </c>
      <c r="U16" s="1">
        <v>166.210503950126</v>
      </c>
      <c r="V16" s="1">
        <v>167.01852861950499</v>
      </c>
      <c r="W16" s="1">
        <v>166.043188992143</v>
      </c>
      <c r="X16" s="1">
        <v>172.43517205595299</v>
      </c>
      <c r="Y16" s="1">
        <v>175.55187618973801</v>
      </c>
      <c r="Z16" s="1">
        <v>161.089265415087</v>
      </c>
      <c r="AA16" s="1">
        <v>166.39826618831799</v>
      </c>
      <c r="AB16" s="1">
        <v>175.25279418705901</v>
      </c>
      <c r="AC16" s="1">
        <v>177.08280672893699</v>
      </c>
      <c r="AD16" s="1">
        <f>AVERAGE(C16:AC16)</f>
        <v>169.50335696969358</v>
      </c>
      <c r="AE16" s="1">
        <f>_xlfn.STDEV.P(C16:AC16)</f>
        <v>7.3649270064330041</v>
      </c>
      <c r="AF16" s="1">
        <f>AE16/AD16</f>
        <v>4.3450036259457793E-2</v>
      </c>
    </row>
    <row r="17" spans="1:32" ht="15" x14ac:dyDescent="0.15">
      <c r="A17" t="s">
        <v>3</v>
      </c>
      <c r="B17" s="5">
        <v>43652.704861111109</v>
      </c>
      <c r="C17" s="1">
        <v>167.40697616464601</v>
      </c>
      <c r="D17" s="1">
        <v>160.42330618348299</v>
      </c>
      <c r="E17" s="1">
        <v>159.54781618715501</v>
      </c>
      <c r="F17" s="1">
        <v>154.11183911445099</v>
      </c>
      <c r="G17" s="1">
        <v>158.293867526913</v>
      </c>
      <c r="H17" s="1">
        <v>167.787124128838</v>
      </c>
      <c r="I17" s="1">
        <v>155.17310688328001</v>
      </c>
      <c r="J17" s="1">
        <v>151.346827908146</v>
      </c>
      <c r="K17" s="1">
        <v>175.69924756709401</v>
      </c>
      <c r="L17" s="1">
        <v>157.41344339332699</v>
      </c>
      <c r="M17" s="1">
        <v>157.57371167756801</v>
      </c>
      <c r="N17" s="1">
        <v>165.242593441368</v>
      </c>
      <c r="O17" s="1">
        <v>161.955462707696</v>
      </c>
      <c r="P17" s="1">
        <v>170.838523651657</v>
      </c>
      <c r="Q17" s="1">
        <v>155.13488389680799</v>
      </c>
      <c r="R17" s="1">
        <v>162.3983281468</v>
      </c>
      <c r="S17" s="1">
        <v>167.26095996241699</v>
      </c>
      <c r="T17" s="1">
        <v>166.227866468032</v>
      </c>
      <c r="U17" s="1">
        <v>159.13572183939499</v>
      </c>
      <c r="V17" s="1">
        <v>150.97275695477299</v>
      </c>
      <c r="W17" s="1">
        <v>156.62675091554601</v>
      </c>
      <c r="X17" s="1">
        <v>171.26698261188</v>
      </c>
      <c r="Y17" s="1">
        <v>167.97493838253999</v>
      </c>
      <c r="Z17" s="1">
        <v>160.98248454655101</v>
      </c>
      <c r="AA17" s="1">
        <v>158.741244198788</v>
      </c>
      <c r="AB17" s="1">
        <v>165.925552538407</v>
      </c>
      <c r="AC17" s="1">
        <v>165.30105045040099</v>
      </c>
      <c r="AD17" s="1">
        <f>AVERAGE(C17:AC17)</f>
        <v>161.88012472029482</v>
      </c>
      <c r="AE17" s="1">
        <f>_xlfn.STDEV.P(C17:AC17)</f>
        <v>6.1910384197359383</v>
      </c>
      <c r="AF17" s="1">
        <f>AE17/AD17</f>
        <v>3.8244586421175224E-2</v>
      </c>
    </row>
    <row r="18" spans="1:32" ht="15" x14ac:dyDescent="0.15">
      <c r="A18" t="s">
        <v>3</v>
      </c>
      <c r="B18" s="5">
        <v>43653.791666666664</v>
      </c>
      <c r="C18" s="1">
        <v>186.52770820919</v>
      </c>
      <c r="D18" s="1">
        <v>185.88836619614199</v>
      </c>
      <c r="E18" s="1">
        <v>179.696137424992</v>
      </c>
      <c r="F18" s="1">
        <v>174.94689084395</v>
      </c>
      <c r="G18" s="1">
        <v>182.56536288056901</v>
      </c>
      <c r="H18" s="1">
        <v>182.929059687624</v>
      </c>
      <c r="I18" s="1">
        <v>180.863563130827</v>
      </c>
      <c r="J18" s="1">
        <v>182.63898265414099</v>
      </c>
      <c r="K18" s="1">
        <v>196.38346218902001</v>
      </c>
      <c r="L18" s="1">
        <v>195.444207220084</v>
      </c>
      <c r="M18" s="1">
        <v>173.66744584016101</v>
      </c>
      <c r="N18" s="1">
        <v>182.31117845294699</v>
      </c>
      <c r="O18" s="1">
        <v>200.82219289336999</v>
      </c>
      <c r="P18" s="1">
        <v>188.28554579181699</v>
      </c>
      <c r="Q18" s="1">
        <v>176.67259858468</v>
      </c>
      <c r="R18" s="1">
        <v>177.927797710243</v>
      </c>
      <c r="S18" s="1">
        <v>191.79295929049599</v>
      </c>
      <c r="T18" s="1">
        <v>185.891713747164</v>
      </c>
      <c r="U18" s="1">
        <v>174.06364677589201</v>
      </c>
      <c r="V18" s="1">
        <v>178.56456707289601</v>
      </c>
      <c r="W18" s="1">
        <v>182.406368732396</v>
      </c>
      <c r="X18" s="1">
        <v>187.02695781145599</v>
      </c>
      <c r="Y18" s="1">
        <v>187.077295048981</v>
      </c>
      <c r="Z18" s="1">
        <v>181.759601083869</v>
      </c>
      <c r="AA18" s="1">
        <v>189.39845593820399</v>
      </c>
      <c r="AB18" s="1">
        <v>192.04958817225301</v>
      </c>
      <c r="AC18" s="1">
        <v>183.091877339223</v>
      </c>
      <c r="AD18" s="1">
        <f>AVERAGE(C18:AC18)</f>
        <v>184.47013076750321</v>
      </c>
      <c r="AE18" s="1">
        <f>_xlfn.STDEV.P(C18:AC18)</f>
        <v>6.7185527109826175</v>
      </c>
      <c r="AF18" s="1">
        <f>AE18/AD18</f>
        <v>3.6420816112774056E-2</v>
      </c>
    </row>
    <row r="19" spans="1:32" ht="15" x14ac:dyDescent="0.15">
      <c r="A19" t="s">
        <v>3</v>
      </c>
      <c r="B19" s="5">
        <v>43655.979166666664</v>
      </c>
      <c r="C19" s="1">
        <v>180.80171101684701</v>
      </c>
      <c r="D19" s="1">
        <v>185.13040406720901</v>
      </c>
      <c r="E19" s="1">
        <v>166.20037881835199</v>
      </c>
      <c r="F19" s="1">
        <v>176.240014713318</v>
      </c>
      <c r="G19" s="1">
        <v>185.037381760225</v>
      </c>
      <c r="H19" s="1">
        <v>177.29518066991</v>
      </c>
      <c r="I19" s="1">
        <v>185.294419147811</v>
      </c>
      <c r="J19" s="1">
        <v>159.73241191714101</v>
      </c>
      <c r="K19" s="1">
        <v>192.846953676065</v>
      </c>
      <c r="L19" s="1">
        <v>181.087699481801</v>
      </c>
      <c r="M19" s="1">
        <v>162.799359216141</v>
      </c>
      <c r="N19" s="1">
        <v>182.31570818737401</v>
      </c>
      <c r="O19" s="1">
        <v>197.37062482416999</v>
      </c>
      <c r="P19" s="1">
        <v>180.712908665074</v>
      </c>
      <c r="Q19" s="1">
        <v>164.111387013968</v>
      </c>
      <c r="R19" s="1">
        <v>175.84272230324001</v>
      </c>
      <c r="S19" s="1">
        <v>190.79986613214601</v>
      </c>
      <c r="T19" s="1">
        <v>179.19640162686699</v>
      </c>
      <c r="U19" s="1">
        <v>171.100316023441</v>
      </c>
      <c r="V19" s="1">
        <v>174.42535836223999</v>
      </c>
      <c r="W19" s="1">
        <v>168.37111595468801</v>
      </c>
      <c r="X19" s="1">
        <v>175.666133052525</v>
      </c>
      <c r="Y19" s="1">
        <v>182.67328400168901</v>
      </c>
      <c r="Z19" s="1">
        <v>172.941978758109</v>
      </c>
      <c r="AA19" s="1">
        <v>188.163995002929</v>
      </c>
      <c r="AB19" s="1">
        <v>189.356694521934</v>
      </c>
      <c r="AC19" s="1">
        <v>176.87789946817799</v>
      </c>
      <c r="AD19" s="1">
        <f>AVERAGE(C19:AC19)</f>
        <v>178.60712253271819</v>
      </c>
      <c r="AE19" s="1">
        <f>_xlfn.STDEV.P(C19:AC19)</f>
        <v>9.2146426552189453</v>
      </c>
      <c r="AF19" s="1">
        <f>AE19/AD19</f>
        <v>5.1591686403944827E-2</v>
      </c>
    </row>
    <row r="20" spans="1:32" ht="15" x14ac:dyDescent="0.15">
      <c r="A20" t="s">
        <v>3</v>
      </c>
      <c r="B20" s="5">
        <v>43664.604166666664</v>
      </c>
      <c r="C20" s="1">
        <v>124.20320684664</v>
      </c>
      <c r="D20" s="1">
        <v>119.618248254401</v>
      </c>
      <c r="E20" s="1">
        <v>118.390955425577</v>
      </c>
      <c r="F20" s="1">
        <v>124.321894689454</v>
      </c>
      <c r="G20" s="1">
        <v>123.434477155199</v>
      </c>
      <c r="H20" s="1">
        <v>120.35588604311801</v>
      </c>
      <c r="I20" s="1">
        <v>106.569064715501</v>
      </c>
      <c r="J20" s="1">
        <v>119.641553414794</v>
      </c>
      <c r="K20" s="1">
        <v>112.28788524018699</v>
      </c>
      <c r="L20" s="1">
        <v>126.085225077969</v>
      </c>
      <c r="M20" s="1">
        <v>122.148113318776</v>
      </c>
      <c r="N20" s="1">
        <v>120.01877506037501</v>
      </c>
      <c r="O20" s="1">
        <v>121.0985748481</v>
      </c>
      <c r="P20" s="1">
        <v>118.55815388287699</v>
      </c>
      <c r="Q20" s="1">
        <v>124.579745310281</v>
      </c>
      <c r="R20" s="1">
        <v>126.61371909124</v>
      </c>
      <c r="S20" s="1">
        <v>141.01888815270499</v>
      </c>
      <c r="T20" s="1">
        <v>118.185295384737</v>
      </c>
      <c r="U20" s="1">
        <v>115.07075359245501</v>
      </c>
      <c r="V20" s="1">
        <v>118.412745881056</v>
      </c>
      <c r="W20" s="1">
        <v>127.892431256725</v>
      </c>
      <c r="X20" s="1">
        <v>133.43171760921899</v>
      </c>
      <c r="Y20" s="1">
        <v>129.14744453383199</v>
      </c>
      <c r="Z20" s="1">
        <v>127.58634838506001</v>
      </c>
      <c r="AA20" s="1">
        <v>126.55586416546301</v>
      </c>
      <c r="AB20" s="1">
        <v>123.11933433509</v>
      </c>
      <c r="AC20" s="1">
        <v>134.32940204097901</v>
      </c>
      <c r="AD20" s="1">
        <f>AVERAGE(C20:AC20)</f>
        <v>123.06206310043738</v>
      </c>
      <c r="AE20" s="1">
        <f>_xlfn.STDEV.P(C20:AC20)</f>
        <v>6.8349877782386015</v>
      </c>
      <c r="AF20" s="1">
        <f>AE20/AD20</f>
        <v>5.5540981566839252E-2</v>
      </c>
    </row>
    <row r="21" spans="1:32" ht="15" x14ac:dyDescent="0.15">
      <c r="A21" t="s">
        <v>3</v>
      </c>
      <c r="B21" s="5">
        <v>43666.309027777781</v>
      </c>
      <c r="C21" s="1">
        <v>257.10901606265702</v>
      </c>
      <c r="D21" s="1">
        <v>243.969151601433</v>
      </c>
      <c r="E21" s="1">
        <v>280.01881405712498</v>
      </c>
      <c r="F21" s="1">
        <v>280.74207263561499</v>
      </c>
      <c r="G21" s="1">
        <v>246.12761404519901</v>
      </c>
      <c r="H21" s="1">
        <v>250.89926476905501</v>
      </c>
      <c r="I21" s="1">
        <v>261.45281367234497</v>
      </c>
      <c r="J21" s="1">
        <v>255.55431295962799</v>
      </c>
      <c r="K21" s="1">
        <v>202.68080797331899</v>
      </c>
      <c r="L21" s="1">
        <v>229.69687894324099</v>
      </c>
      <c r="M21" s="1">
        <v>264.41357477854001</v>
      </c>
      <c r="N21" s="1">
        <v>229.02820781781401</v>
      </c>
      <c r="O21" s="1">
        <v>214.960056765676</v>
      </c>
      <c r="P21" s="1">
        <v>219.80637188066299</v>
      </c>
      <c r="Q21" s="1">
        <v>274.25964546263998</v>
      </c>
      <c r="R21" s="1">
        <v>245.40090655036801</v>
      </c>
      <c r="S21" s="1">
        <v>260.41689901741898</v>
      </c>
      <c r="T21" s="1">
        <v>225.800208800961</v>
      </c>
      <c r="U21" s="1">
        <v>228.52683366991101</v>
      </c>
      <c r="V21" s="1">
        <v>228.138417879869</v>
      </c>
      <c r="W21" s="1">
        <v>272.88909085455498</v>
      </c>
      <c r="X21" s="1">
        <v>255.028131496047</v>
      </c>
      <c r="Y21" s="1">
        <v>261.17266049172798</v>
      </c>
      <c r="Z21" s="1">
        <v>247.96963824120999</v>
      </c>
      <c r="AA21" s="1">
        <v>223.583553486375</v>
      </c>
      <c r="AB21" s="1">
        <v>217.85532948032301</v>
      </c>
      <c r="AC21" s="1">
        <v>255.520836918242</v>
      </c>
      <c r="AD21" s="1">
        <f>AVERAGE(C21:AC21)</f>
        <v>245.66744853007251</v>
      </c>
      <c r="AE21" s="1">
        <f>_xlfn.STDEV.P(C21:AC21)</f>
        <v>20.838924820436315</v>
      </c>
      <c r="AF21" s="1">
        <f>AE21/AD21</f>
        <v>8.4825746940117672E-2</v>
      </c>
    </row>
    <row r="22" spans="1:32" ht="15" x14ac:dyDescent="0.15">
      <c r="A22" t="s">
        <v>3</v>
      </c>
      <c r="B22" s="5">
        <v>43702.729166666664</v>
      </c>
      <c r="C22" s="1">
        <v>131.242993917896</v>
      </c>
      <c r="D22" s="1">
        <v>135.44822642697</v>
      </c>
      <c r="E22" s="1">
        <v>119.940732233898</v>
      </c>
      <c r="F22" s="1">
        <v>128.69488196192401</v>
      </c>
      <c r="G22" s="1">
        <v>118.78324510526799</v>
      </c>
      <c r="H22" s="1">
        <v>110.744908060124</v>
      </c>
      <c r="I22" s="1">
        <v>115.531352232622</v>
      </c>
      <c r="J22" s="1">
        <v>127.82450555667999</v>
      </c>
      <c r="K22" s="1">
        <v>111.779478280123</v>
      </c>
      <c r="L22" s="1">
        <v>124.785736323783</v>
      </c>
      <c r="M22" s="1">
        <v>128.371918349194</v>
      </c>
      <c r="N22" s="1">
        <v>109.358078033198</v>
      </c>
      <c r="O22" s="1">
        <v>114.68950616391901</v>
      </c>
      <c r="P22" s="1">
        <v>124.59514232650901</v>
      </c>
      <c r="Q22" s="1">
        <v>121.392969297649</v>
      </c>
      <c r="R22" s="1">
        <v>114.307973223164</v>
      </c>
      <c r="S22" s="1">
        <v>147.45835609539</v>
      </c>
      <c r="T22" s="1">
        <v>115.338328081009</v>
      </c>
      <c r="U22" s="1">
        <v>119.268402046508</v>
      </c>
      <c r="V22" s="1">
        <v>112.384266355525</v>
      </c>
      <c r="W22" s="1">
        <v>124.61073160407101</v>
      </c>
      <c r="X22" s="1">
        <v>137.29642215620399</v>
      </c>
      <c r="Y22" s="1">
        <v>121.60534487015001</v>
      </c>
      <c r="Z22" s="1">
        <v>130.13702676525699</v>
      </c>
      <c r="AA22" s="1">
        <v>124.719389457692</v>
      </c>
      <c r="AB22" s="1">
        <v>126.304495196053</v>
      </c>
      <c r="AC22" s="1">
        <v>131.229546184501</v>
      </c>
      <c r="AD22" s="1">
        <f>AVERAGE(C22:AC22)</f>
        <v>123.25347986315855</v>
      </c>
      <c r="AE22" s="1">
        <f>_xlfn.STDEV.P(C22:AC22)</f>
        <v>8.8793854166541895</v>
      </c>
      <c r="AF22" s="1">
        <f>AE22/AD22</f>
        <v>7.2041661026629636E-2</v>
      </c>
    </row>
    <row r="23" spans="1:32" ht="15" x14ac:dyDescent="0.15">
      <c r="A23" t="s">
        <v>3</v>
      </c>
      <c r="B23" s="5">
        <v>43717.444444444445</v>
      </c>
      <c r="C23" s="1">
        <v>73.430580537424305</v>
      </c>
      <c r="D23" s="1">
        <v>72.364439270300593</v>
      </c>
      <c r="E23" s="1">
        <v>72.9160262951508</v>
      </c>
      <c r="F23" s="1">
        <v>60.473238759195098</v>
      </c>
      <c r="G23" s="1">
        <v>62.952461357104099</v>
      </c>
      <c r="H23" s="1">
        <v>81.826016414978398</v>
      </c>
      <c r="I23" s="1">
        <v>70.877938900486896</v>
      </c>
      <c r="J23" s="1">
        <v>73.931226666495604</v>
      </c>
      <c r="K23" s="1">
        <v>65.041656482335995</v>
      </c>
      <c r="L23" s="1">
        <v>78.020333506458897</v>
      </c>
      <c r="M23" s="1">
        <v>85.606471206317295</v>
      </c>
      <c r="N23" s="1">
        <v>82.746127869940096</v>
      </c>
      <c r="O23" s="1">
        <v>83.599083305405301</v>
      </c>
      <c r="P23" s="1">
        <v>74.545964894763799</v>
      </c>
      <c r="Q23" s="1">
        <v>105.461717355891</v>
      </c>
      <c r="R23" s="1">
        <v>83.398367971782307</v>
      </c>
      <c r="S23" s="1">
        <v>82.4281242964706</v>
      </c>
      <c r="T23" s="1">
        <v>82.961907317393496</v>
      </c>
      <c r="U23" s="1">
        <v>74.474045502375006</v>
      </c>
      <c r="V23" s="1">
        <v>86.911577433017499</v>
      </c>
      <c r="W23" s="1">
        <v>72.020166424529194</v>
      </c>
      <c r="X23" s="1">
        <v>75.196872050796003</v>
      </c>
      <c r="Y23" s="1">
        <v>82.356780581351401</v>
      </c>
      <c r="Z23" s="1">
        <v>78.049672236134398</v>
      </c>
      <c r="AA23" s="1">
        <v>79.255224037580803</v>
      </c>
      <c r="AB23" s="1">
        <v>81.926869550692999</v>
      </c>
      <c r="AC23" s="1">
        <v>73.707945583928094</v>
      </c>
      <c r="AD23" s="1">
        <f>AVERAGE(C23:AC23)</f>
        <v>77.647438363270368</v>
      </c>
      <c r="AE23" s="1">
        <f>_xlfn.STDEV.P(C23:AC23)</f>
        <v>8.6058318506843268</v>
      </c>
      <c r="AF23" s="1">
        <f>AE23/AD23</f>
        <v>0.11083214117666437</v>
      </c>
    </row>
    <row r="24" spans="1:32" ht="15" x14ac:dyDescent="0.15">
      <c r="A24" t="s">
        <v>4</v>
      </c>
      <c r="B24" s="4">
        <v>43266.375</v>
      </c>
      <c r="C24" s="1">
        <v>160.470033612946</v>
      </c>
      <c r="D24" s="1">
        <v>157.49182515679701</v>
      </c>
      <c r="E24" s="1">
        <v>173.71480818094801</v>
      </c>
      <c r="F24" s="1">
        <v>184.311162935656</v>
      </c>
      <c r="G24" s="1">
        <v>161.044365668419</v>
      </c>
      <c r="H24" s="1">
        <v>169.37133922313899</v>
      </c>
      <c r="I24" s="1">
        <v>182.48676644222701</v>
      </c>
      <c r="J24" s="1">
        <v>173.759098816223</v>
      </c>
      <c r="K24" s="1">
        <v>176.93930235693799</v>
      </c>
      <c r="L24" s="1">
        <v>169.13630611037101</v>
      </c>
      <c r="M24" s="1">
        <v>174.28944047144901</v>
      </c>
      <c r="N24" s="1">
        <v>192.20978400679999</v>
      </c>
      <c r="O24" s="1">
        <v>172.636759725068</v>
      </c>
      <c r="P24" s="1">
        <v>193.40889638997999</v>
      </c>
      <c r="Q24" s="1">
        <v>161.32959149238701</v>
      </c>
      <c r="R24" s="1">
        <v>183.25263287579301</v>
      </c>
      <c r="S24" s="1">
        <v>181.07962939023699</v>
      </c>
      <c r="T24" s="1">
        <v>192.03519628725499</v>
      </c>
      <c r="U24" s="1">
        <v>178.07616777705701</v>
      </c>
      <c r="V24" s="1">
        <v>186.557452431683</v>
      </c>
      <c r="W24" s="1">
        <v>175.051244305636</v>
      </c>
      <c r="X24" s="1">
        <v>187.33816514028001</v>
      </c>
      <c r="Y24" s="1">
        <v>183.82338965565901</v>
      </c>
      <c r="Z24" s="1">
        <v>185.224199193663</v>
      </c>
      <c r="AA24" s="1">
        <v>179.39924934291699</v>
      </c>
      <c r="AB24" s="1">
        <v>190.65335933931399</v>
      </c>
      <c r="AC24" s="1">
        <v>186.22985869874299</v>
      </c>
      <c r="AD24" s="1">
        <f>AVERAGE(C24:AC24)</f>
        <v>178.19703796398463</v>
      </c>
      <c r="AE24" s="1">
        <f>_xlfn.STDEV.P(C24:AC24)</f>
        <v>10.080530361546534</v>
      </c>
      <c r="AF24" s="1">
        <f>AE24/AD24</f>
        <v>5.6569573078896568E-2</v>
      </c>
    </row>
    <row r="25" spans="1:32" ht="15" x14ac:dyDescent="0.15">
      <c r="A25" t="s">
        <v>4</v>
      </c>
      <c r="B25" s="4">
        <v>43267.354166666664</v>
      </c>
      <c r="C25" s="1">
        <v>118.254656174011</v>
      </c>
      <c r="D25" s="1">
        <v>125.94494006618</v>
      </c>
      <c r="E25" s="1">
        <v>120.309894743572</v>
      </c>
      <c r="F25" s="1">
        <v>108.350187238231</v>
      </c>
      <c r="G25" s="1">
        <v>106.31030845313801</v>
      </c>
      <c r="H25" s="1">
        <v>105.492223744217</v>
      </c>
      <c r="I25" s="1">
        <v>103.905925550419</v>
      </c>
      <c r="J25" s="1">
        <v>108.41555499255701</v>
      </c>
      <c r="K25" s="1">
        <v>94.964844412098302</v>
      </c>
      <c r="L25" s="1">
        <v>112.60353261736201</v>
      </c>
      <c r="M25" s="1">
        <v>104.34897353456699</v>
      </c>
      <c r="N25" s="1">
        <v>105.540690031049</v>
      </c>
      <c r="O25" s="1">
        <v>108.79232257210199</v>
      </c>
      <c r="P25" s="1">
        <v>103.11601323269601</v>
      </c>
      <c r="Q25" s="1">
        <v>113.11278154343999</v>
      </c>
      <c r="R25" s="1">
        <v>103.49598862628299</v>
      </c>
      <c r="S25" s="1">
        <v>136.24505622249001</v>
      </c>
      <c r="T25" s="1">
        <v>114.383850075244</v>
      </c>
      <c r="U25" s="1">
        <v>103.910516885316</v>
      </c>
      <c r="V25" s="1">
        <v>103.894459248232</v>
      </c>
      <c r="W25" s="1">
        <v>110.239679249354</v>
      </c>
      <c r="X25" s="1">
        <v>124.612375739302</v>
      </c>
      <c r="Y25" s="1">
        <v>115.475407305985</v>
      </c>
      <c r="Z25" s="1">
        <v>118.299087457973</v>
      </c>
      <c r="AA25" s="1">
        <v>106.17505374059</v>
      </c>
      <c r="AB25" s="1">
        <v>112.07263030271</v>
      </c>
      <c r="AC25" s="1">
        <v>119.64175017289</v>
      </c>
      <c r="AD25" s="1">
        <f>AVERAGE(C25:AC25)</f>
        <v>111.40402607155589</v>
      </c>
      <c r="AE25" s="1">
        <f>_xlfn.STDEV.P(C25:AC25)</f>
        <v>8.7006822280162108</v>
      </c>
      <c r="AF25" s="1">
        <f>AE25/AD25</f>
        <v>7.8100249468790989E-2</v>
      </c>
    </row>
    <row r="26" spans="1:32" ht="15" x14ac:dyDescent="0.15">
      <c r="A26" t="s">
        <v>4</v>
      </c>
      <c r="B26" s="4">
        <v>43299.520833333336</v>
      </c>
      <c r="C26" s="1">
        <v>190.38537258540401</v>
      </c>
      <c r="D26" s="1">
        <v>172.110986147642</v>
      </c>
      <c r="E26" s="1">
        <v>193.49324150172299</v>
      </c>
      <c r="F26" s="1">
        <v>192.45424706653299</v>
      </c>
      <c r="G26" s="1">
        <v>172.71437456568501</v>
      </c>
      <c r="H26" s="1">
        <v>189.341715469631</v>
      </c>
      <c r="I26" s="1">
        <v>197.61410946366399</v>
      </c>
      <c r="J26" s="1">
        <v>192.73527009103199</v>
      </c>
      <c r="K26" s="1">
        <v>189.62996488642699</v>
      </c>
      <c r="L26" s="1">
        <v>188.30509881827501</v>
      </c>
      <c r="M26" s="1">
        <v>183.58407599225001</v>
      </c>
      <c r="N26" s="1">
        <v>203.17959572999601</v>
      </c>
      <c r="O26" s="1">
        <v>180.35055007144601</v>
      </c>
      <c r="P26" s="1">
        <v>205.79863262549</v>
      </c>
      <c r="Q26" s="1">
        <v>187.89904069480201</v>
      </c>
      <c r="R26" s="1">
        <v>193.222137417845</v>
      </c>
      <c r="S26" s="1">
        <v>200.475078328987</v>
      </c>
      <c r="T26" s="1">
        <v>212.579206906293</v>
      </c>
      <c r="U26" s="1">
        <v>203.628951540282</v>
      </c>
      <c r="V26" s="1">
        <v>199.67668593360301</v>
      </c>
      <c r="W26" s="1">
        <v>183.926194325213</v>
      </c>
      <c r="X26" s="1">
        <v>203.773799562937</v>
      </c>
      <c r="Y26" s="1">
        <v>202.33693184750999</v>
      </c>
      <c r="Z26" s="1">
        <v>203.75996648568699</v>
      </c>
      <c r="AA26" s="1">
        <v>203.93911267649901</v>
      </c>
      <c r="AB26" s="1">
        <v>211.446887240546</v>
      </c>
      <c r="AC26" s="1">
        <v>205.69168237157999</v>
      </c>
      <c r="AD26" s="1">
        <f>AVERAGE(C26:AC26)</f>
        <v>194.96492260544372</v>
      </c>
      <c r="AE26" s="1">
        <f>_xlfn.STDEV.P(C26:AC26)</f>
        <v>10.506555840927458</v>
      </c>
      <c r="AF26" s="1">
        <f>AE26/AD26</f>
        <v>5.388946740019427E-2</v>
      </c>
    </row>
    <row r="27" spans="1:32" ht="15" x14ac:dyDescent="0.15">
      <c r="A27" t="s">
        <v>4</v>
      </c>
      <c r="B27" s="4">
        <v>43315.670138888891</v>
      </c>
      <c r="C27" s="1">
        <v>119.123490569743</v>
      </c>
      <c r="D27" s="1">
        <v>113.95344488422</v>
      </c>
      <c r="E27" s="1">
        <v>120.436191883028</v>
      </c>
      <c r="F27" s="1">
        <v>105.959208034141</v>
      </c>
      <c r="G27" s="1">
        <v>97.969224944656006</v>
      </c>
      <c r="H27" s="1">
        <v>110.992299701427</v>
      </c>
      <c r="I27" s="1">
        <v>92.851696251084704</v>
      </c>
      <c r="J27" s="1">
        <v>94.341144924015595</v>
      </c>
      <c r="K27" s="1">
        <v>104.180197042871</v>
      </c>
      <c r="L27" s="1">
        <v>111.89833275038001</v>
      </c>
      <c r="M27" s="1">
        <v>103.65381129335999</v>
      </c>
      <c r="N27" s="1">
        <v>101.449759640625</v>
      </c>
      <c r="O27" s="1">
        <v>107.380984155382</v>
      </c>
      <c r="P27" s="1">
        <v>98.395442531934606</v>
      </c>
      <c r="Q27" s="1">
        <v>119.177203727642</v>
      </c>
      <c r="R27" s="1">
        <v>109.89733093527801</v>
      </c>
      <c r="S27" s="1">
        <v>138.150474453903</v>
      </c>
      <c r="T27" s="1">
        <v>120.04724485982899</v>
      </c>
      <c r="U27" s="1">
        <v>104.020791274243</v>
      </c>
      <c r="V27" s="1">
        <v>107.724849497747</v>
      </c>
      <c r="W27" s="1">
        <v>111.856407407148</v>
      </c>
      <c r="X27" s="1">
        <v>123.79156921434701</v>
      </c>
      <c r="Y27" s="1">
        <v>110.729764179269</v>
      </c>
      <c r="Z27" s="1">
        <v>122.288231782956</v>
      </c>
      <c r="AA27" s="1">
        <v>122.05112258262101</v>
      </c>
      <c r="AB27" s="1">
        <v>115.02228347927399</v>
      </c>
      <c r="AC27" s="1">
        <v>112.842725615254</v>
      </c>
      <c r="AD27" s="1">
        <f>AVERAGE(C27:AC27)</f>
        <v>111.11797139319918</v>
      </c>
      <c r="AE27" s="1">
        <f>_xlfn.STDEV.P(C27:AC27)</f>
        <v>10.018515172880438</v>
      </c>
      <c r="AF27" s="1">
        <f>AE27/AD27</f>
        <v>9.0161069782575307E-2</v>
      </c>
    </row>
    <row r="28" spans="1:32" ht="15" x14ac:dyDescent="0.15">
      <c r="A28" t="s">
        <v>4</v>
      </c>
      <c r="B28" s="4">
        <v>43324.413194444445</v>
      </c>
      <c r="C28" s="1">
        <v>213.369842992336</v>
      </c>
      <c r="D28" s="1">
        <v>234.36715207026799</v>
      </c>
      <c r="E28" s="1">
        <v>208.87448477420099</v>
      </c>
      <c r="F28" s="1">
        <v>191.19811270790601</v>
      </c>
      <c r="G28" s="1">
        <v>190.054380634316</v>
      </c>
      <c r="H28" s="1">
        <v>230.43767687135099</v>
      </c>
      <c r="I28" s="1">
        <v>202.52834044389701</v>
      </c>
      <c r="J28" s="1">
        <v>221.509614950019</v>
      </c>
      <c r="K28" s="1">
        <v>210.16345458355801</v>
      </c>
      <c r="L28" s="1">
        <v>218.17763033138601</v>
      </c>
      <c r="M28" s="1">
        <v>200.11678316198001</v>
      </c>
      <c r="N28" s="1">
        <v>223.95081083227399</v>
      </c>
      <c r="O28" s="1">
        <v>223.22335977800199</v>
      </c>
      <c r="P28" s="1">
        <v>210.81511518477299</v>
      </c>
      <c r="Q28" s="1">
        <v>206.37296605312599</v>
      </c>
      <c r="R28" s="1">
        <v>211.05134786755801</v>
      </c>
      <c r="S28" s="1">
        <v>220.913764754612</v>
      </c>
      <c r="T28" s="1">
        <v>211.34407864731301</v>
      </c>
      <c r="U28" s="1">
        <v>210.78890531384599</v>
      </c>
      <c r="V28" s="1">
        <v>224.60984308182799</v>
      </c>
      <c r="W28" s="1">
        <v>216.01176666652299</v>
      </c>
      <c r="X28" s="1">
        <v>217.572131307972</v>
      </c>
      <c r="Y28" s="1">
        <v>203.46445334195201</v>
      </c>
      <c r="Z28" s="1">
        <v>204.38351705529001</v>
      </c>
      <c r="AA28" s="1">
        <v>219.81158548390201</v>
      </c>
      <c r="AB28" s="1">
        <v>222.764287405782</v>
      </c>
      <c r="AC28" s="1">
        <v>225.12112916735799</v>
      </c>
      <c r="AD28" s="1">
        <f>AVERAGE(C28:AC28)</f>
        <v>213.81468649864181</v>
      </c>
      <c r="AE28" s="1">
        <f>_xlfn.STDEV.P(C28:AC28)</f>
        <v>10.733070327278845</v>
      </c>
      <c r="AF28" s="1">
        <f>AE28/AD28</f>
        <v>5.0198003247765792E-2</v>
      </c>
    </row>
    <row r="29" spans="1:32" ht="15" x14ac:dyDescent="0.15">
      <c r="A29" t="s">
        <v>4</v>
      </c>
      <c r="B29" s="4">
        <v>43336.177083333336</v>
      </c>
      <c r="C29" s="1">
        <v>183.56901165391099</v>
      </c>
      <c r="D29" s="1">
        <v>113.19041290204601</v>
      </c>
      <c r="E29" s="1">
        <v>170.16019315687299</v>
      </c>
      <c r="F29" s="1">
        <v>155.17487170659501</v>
      </c>
      <c r="G29" s="1">
        <v>163.52426963270099</v>
      </c>
      <c r="H29" s="1">
        <v>137.27207412884701</v>
      </c>
      <c r="I29" s="1">
        <v>166.20858579295299</v>
      </c>
      <c r="J29" s="1">
        <v>173.66227517494201</v>
      </c>
      <c r="K29" s="1">
        <v>135.30736838865599</v>
      </c>
      <c r="L29" s="1">
        <v>132.990885775717</v>
      </c>
      <c r="M29" s="1">
        <v>158.01742907364201</v>
      </c>
      <c r="N29" s="1">
        <v>175.44675694823599</v>
      </c>
      <c r="O29" s="1">
        <v>178.91246745172199</v>
      </c>
      <c r="P29" s="1">
        <v>155.475670219183</v>
      </c>
      <c r="Q29" s="1">
        <v>144.66368274480499</v>
      </c>
      <c r="R29" s="1">
        <v>161.39235283921099</v>
      </c>
      <c r="S29" s="1">
        <v>134.36219288837799</v>
      </c>
      <c r="T29" s="1">
        <v>179.609309025465</v>
      </c>
      <c r="U29" s="1">
        <v>171.803413777949</v>
      </c>
      <c r="V29" s="1">
        <v>172.322783252389</v>
      </c>
      <c r="W29" s="1">
        <v>159.30494673755501</v>
      </c>
      <c r="X29" s="1">
        <v>173.422080069955</v>
      </c>
      <c r="Y29" s="1">
        <v>133.090375511064</v>
      </c>
      <c r="Z29" s="1">
        <v>175.128930196179</v>
      </c>
      <c r="AA29" s="1">
        <v>170.43738160790801</v>
      </c>
      <c r="AB29" s="1">
        <v>151.41409405534301</v>
      </c>
      <c r="AC29" s="1">
        <v>149.88689079705199</v>
      </c>
      <c r="AD29" s="1">
        <f>AVERAGE(C29:AC29)</f>
        <v>158.36113724108435</v>
      </c>
      <c r="AE29" s="1">
        <f>_xlfn.STDEV.P(C29:AC29)</f>
        <v>17.746599704737278</v>
      </c>
      <c r="AF29" s="1">
        <f>AE29/AD29</f>
        <v>0.11206410874481391</v>
      </c>
    </row>
    <row r="30" spans="1:32" ht="15" x14ac:dyDescent="0.15">
      <c r="A30" t="s">
        <v>4</v>
      </c>
      <c r="B30" s="4">
        <v>43346.201388888891</v>
      </c>
      <c r="C30" s="1">
        <v>198.982216903069</v>
      </c>
      <c r="D30" s="1">
        <v>188.30051992341899</v>
      </c>
      <c r="E30" s="1">
        <v>204.20681865411299</v>
      </c>
      <c r="F30" s="1">
        <v>185.951875229027</v>
      </c>
      <c r="G30" s="1">
        <v>162.269485690881</v>
      </c>
      <c r="H30" s="1">
        <v>202.95402751519899</v>
      </c>
      <c r="I30" s="1">
        <v>176.50566874363901</v>
      </c>
      <c r="J30" s="1">
        <v>212.00851792579601</v>
      </c>
      <c r="K30" s="1">
        <v>204.70789906576101</v>
      </c>
      <c r="L30" s="1">
        <v>201.21230343157501</v>
      </c>
      <c r="M30" s="1">
        <v>184.758692591331</v>
      </c>
      <c r="N30" s="1">
        <v>201.95019052283499</v>
      </c>
      <c r="O30" s="1">
        <v>158.98331216486301</v>
      </c>
      <c r="P30" s="1">
        <v>228.92586401173801</v>
      </c>
      <c r="Q30" s="1">
        <v>186.306724983073</v>
      </c>
      <c r="R30" s="1">
        <v>194.12103170587301</v>
      </c>
      <c r="S30" s="1">
        <v>211.623373241602</v>
      </c>
      <c r="T30" s="1">
        <v>234.05471663550199</v>
      </c>
      <c r="U30" s="1">
        <v>208.71754926209599</v>
      </c>
      <c r="V30" s="1">
        <v>203.74656649126999</v>
      </c>
      <c r="W30" s="1">
        <v>189.93410386993401</v>
      </c>
      <c r="X30" s="1">
        <v>209.38935647540299</v>
      </c>
      <c r="Y30" s="1">
        <v>202.556996497873</v>
      </c>
      <c r="Z30" s="1">
        <v>209.60845579488</v>
      </c>
      <c r="AA30" s="1">
        <v>209.970482612528</v>
      </c>
      <c r="AB30" s="1">
        <v>204.53539109844601</v>
      </c>
      <c r="AC30" s="1">
        <v>207.495771106078</v>
      </c>
      <c r="AD30" s="1">
        <f>AVERAGE(C30:AC30)</f>
        <v>199.39918193140014</v>
      </c>
      <c r="AE30" s="1">
        <f>_xlfn.STDEV.P(C30:AC30)</f>
        <v>16.467663279861593</v>
      </c>
      <c r="AF30" s="1">
        <f>AE30/AD30</f>
        <v>8.2586413446405257E-2</v>
      </c>
    </row>
    <row r="31" spans="1:32" ht="15" x14ac:dyDescent="0.15">
      <c r="A31" t="s">
        <v>4</v>
      </c>
      <c r="B31" s="4">
        <v>43384.288194444445</v>
      </c>
      <c r="C31" s="1">
        <v>114.71329224450901</v>
      </c>
      <c r="D31" s="1">
        <v>116.386492798471</v>
      </c>
      <c r="E31" s="1">
        <v>107.945562210749</v>
      </c>
      <c r="F31" s="1">
        <v>103.852555660669</v>
      </c>
      <c r="G31" s="1">
        <v>101.911964751212</v>
      </c>
      <c r="H31" s="1">
        <v>110.245863898227</v>
      </c>
      <c r="I31" s="1">
        <v>86.376026295096693</v>
      </c>
      <c r="J31" s="1">
        <v>111.904703828306</v>
      </c>
      <c r="K31" s="1">
        <v>96.116219706188801</v>
      </c>
      <c r="L31" s="1">
        <v>109.56695305296699</v>
      </c>
      <c r="M31" s="1">
        <v>109.043294773151</v>
      </c>
      <c r="N31" s="1">
        <v>107.31666217049499</v>
      </c>
      <c r="O31" s="1">
        <v>113.50331995683</v>
      </c>
      <c r="P31" s="1">
        <v>105.379424829869</v>
      </c>
      <c r="Q31" s="1">
        <v>121.816244571624</v>
      </c>
      <c r="R31" s="1">
        <v>107.60557819043601</v>
      </c>
      <c r="S31" s="1">
        <v>143.146296136757</v>
      </c>
      <c r="T31" s="1">
        <v>122.831746416147</v>
      </c>
      <c r="U31" s="1">
        <v>102.808463501419</v>
      </c>
      <c r="V31" s="1">
        <v>110.224628596949</v>
      </c>
      <c r="W31" s="1">
        <v>117.064717220685</v>
      </c>
      <c r="X31" s="1">
        <v>124.184788018934</v>
      </c>
      <c r="Y31" s="1">
        <v>110.72663385170701</v>
      </c>
      <c r="Z31" s="1">
        <v>120.93246615295701</v>
      </c>
      <c r="AA31" s="1">
        <v>126.898737561817</v>
      </c>
      <c r="AB31" s="1">
        <v>113.86974569630399</v>
      </c>
      <c r="AC31" s="1">
        <v>110.865172481364</v>
      </c>
      <c r="AD31" s="1">
        <f>AVERAGE(C31:AC31)</f>
        <v>112.11990942866078</v>
      </c>
      <c r="AE31" s="1">
        <f>_xlfn.STDEV.P(C31:AC31)</f>
        <v>10.503033512662368</v>
      </c>
      <c r="AF31" s="1">
        <f>AE31/AD31</f>
        <v>9.3676792696173183E-2</v>
      </c>
    </row>
    <row r="32" spans="1:32" ht="15" x14ac:dyDescent="0.15">
      <c r="A32" t="s">
        <v>4</v>
      </c>
      <c r="B32" s="4">
        <v>43587.746527777781</v>
      </c>
      <c r="C32" s="1">
        <v>183.830465493444</v>
      </c>
      <c r="D32" s="1">
        <v>162.39564996145501</v>
      </c>
      <c r="E32" s="1">
        <v>194.61014772615701</v>
      </c>
      <c r="F32" s="1">
        <v>186.06438235906199</v>
      </c>
      <c r="G32" s="1">
        <v>167.43813316296399</v>
      </c>
      <c r="H32" s="1">
        <v>194.10676194055901</v>
      </c>
      <c r="I32" s="1">
        <v>178.664049671047</v>
      </c>
      <c r="J32" s="1">
        <v>201.177052996117</v>
      </c>
      <c r="K32" s="1">
        <v>198.73563371162899</v>
      </c>
      <c r="L32" s="1">
        <v>182.769000627048</v>
      </c>
      <c r="M32" s="1">
        <v>179.75002159031001</v>
      </c>
      <c r="N32" s="1">
        <v>197.448980283444</v>
      </c>
      <c r="O32" s="1">
        <v>170.672932402188</v>
      </c>
      <c r="P32" s="1">
        <v>205.72381267406399</v>
      </c>
      <c r="Q32" s="1">
        <v>182.81815908734799</v>
      </c>
      <c r="R32" s="1">
        <v>199.29439049118599</v>
      </c>
      <c r="S32" s="1">
        <v>194.44042063224501</v>
      </c>
      <c r="T32" s="1">
        <v>209.701994639665</v>
      </c>
      <c r="U32" s="1">
        <v>205.782580105237</v>
      </c>
      <c r="V32" s="1">
        <v>194.89498678829801</v>
      </c>
      <c r="W32" s="1">
        <v>178.97401769165799</v>
      </c>
      <c r="X32" s="1">
        <v>196.00468069510799</v>
      </c>
      <c r="Y32" s="1">
        <v>195.060389669221</v>
      </c>
      <c r="Z32" s="1">
        <v>205.73537849713199</v>
      </c>
      <c r="AA32" s="1">
        <v>200.13975125458501</v>
      </c>
      <c r="AB32" s="1">
        <v>217.97159699495299</v>
      </c>
      <c r="AC32" s="1">
        <v>199.180996710854</v>
      </c>
      <c r="AD32" s="1">
        <f>AVERAGE(C32:AC32)</f>
        <v>191.97727288359178</v>
      </c>
      <c r="AE32" s="1">
        <f>_xlfn.STDEV.P(C32:AC32)</f>
        <v>13.10888407105781</v>
      </c>
      <c r="AF32" s="1">
        <f>AE32/AD32</f>
        <v>6.8283520617602345E-2</v>
      </c>
    </row>
    <row r="33" spans="1:32" ht="15" x14ac:dyDescent="0.15">
      <c r="A33" t="s">
        <v>4</v>
      </c>
      <c r="B33" s="4">
        <v>43592.670138888891</v>
      </c>
      <c r="C33" s="1">
        <v>109.45459131265299</v>
      </c>
      <c r="D33" s="1">
        <v>118.669474898472</v>
      </c>
      <c r="E33" s="1">
        <v>102.82583714723</v>
      </c>
      <c r="F33" s="1">
        <v>111.40121202359801</v>
      </c>
      <c r="G33" s="1">
        <v>93.936998569445095</v>
      </c>
      <c r="H33" s="1">
        <v>117.155205958905</v>
      </c>
      <c r="I33" s="1">
        <v>105.53229133272499</v>
      </c>
      <c r="J33" s="1">
        <v>104.262423047572</v>
      </c>
      <c r="K33" s="1">
        <v>92.389138304087993</v>
      </c>
      <c r="L33" s="1">
        <v>107.333163341858</v>
      </c>
      <c r="M33" s="1">
        <v>107.128138461338</v>
      </c>
      <c r="N33" s="1">
        <v>98.074559655001195</v>
      </c>
      <c r="O33" s="1">
        <v>109.270041045714</v>
      </c>
      <c r="P33" s="1">
        <v>101.450361322427</v>
      </c>
      <c r="Q33" s="1">
        <v>110.775342574135</v>
      </c>
      <c r="R33" s="1">
        <v>99.451135814588397</v>
      </c>
      <c r="S33" s="1">
        <v>124.76419463960499</v>
      </c>
      <c r="T33" s="1">
        <v>102.826442517746</v>
      </c>
      <c r="U33" s="1">
        <v>98.139404744268504</v>
      </c>
      <c r="V33" s="1">
        <v>101.34349574088201</v>
      </c>
      <c r="W33" s="1">
        <v>105.01897213431</v>
      </c>
      <c r="X33" s="1">
        <v>120.38585377014201</v>
      </c>
      <c r="Y33" s="1">
        <v>105.15973089501399</v>
      </c>
      <c r="Z33" s="1">
        <v>116.407178258659</v>
      </c>
      <c r="AA33" s="1">
        <v>109.117526224027</v>
      </c>
      <c r="AB33" s="1">
        <v>110.360723257177</v>
      </c>
      <c r="AC33" s="1">
        <v>114.978457360302</v>
      </c>
      <c r="AD33" s="1">
        <f>AVERAGE(C33:AC33)</f>
        <v>107.31895905006971</v>
      </c>
      <c r="AE33" s="1">
        <f>_xlfn.STDEV.P(C33:AC33)</f>
        <v>7.8363796498787615</v>
      </c>
      <c r="AF33" s="1">
        <f>AE33/AD33</f>
        <v>7.3019527204160592E-2</v>
      </c>
    </row>
    <row r="34" spans="1:32" ht="15" x14ac:dyDescent="0.15">
      <c r="A34" t="s">
        <v>4</v>
      </c>
      <c r="B34" s="4">
        <v>43635.201388888891</v>
      </c>
      <c r="C34" s="1">
        <v>177.612017772608</v>
      </c>
      <c r="D34" s="1">
        <v>183.52838491874101</v>
      </c>
      <c r="E34" s="1">
        <v>158.41358693694701</v>
      </c>
      <c r="F34" s="1">
        <v>147.88900866826</v>
      </c>
      <c r="G34" s="1">
        <v>169.017637976185</v>
      </c>
      <c r="H34" s="1">
        <v>192.90888993904201</v>
      </c>
      <c r="I34" s="1">
        <v>175.96084990597799</v>
      </c>
      <c r="J34" s="1">
        <v>180.510405951954</v>
      </c>
      <c r="K34" s="1">
        <v>175.33044111719499</v>
      </c>
      <c r="L34" s="1">
        <v>172.66266705848699</v>
      </c>
      <c r="M34" s="1">
        <v>163.38686868319601</v>
      </c>
      <c r="N34" s="1">
        <v>183.26856951017299</v>
      </c>
      <c r="O34" s="1">
        <v>183.65594559081501</v>
      </c>
      <c r="P34" s="1">
        <v>184.080459495322</v>
      </c>
      <c r="Q34" s="1">
        <v>168.75164298012299</v>
      </c>
      <c r="R34" s="1">
        <v>183.96910710024301</v>
      </c>
      <c r="S34" s="1">
        <v>174.31408824853</v>
      </c>
      <c r="T34" s="1">
        <v>174.93809833474401</v>
      </c>
      <c r="U34" s="1">
        <v>175.20193556216901</v>
      </c>
      <c r="V34" s="1">
        <v>180.24522256434</v>
      </c>
      <c r="W34" s="1">
        <v>164.47162781199501</v>
      </c>
      <c r="X34" s="1">
        <v>182.87317720119901</v>
      </c>
      <c r="Y34" s="1">
        <v>172.327582054701</v>
      </c>
      <c r="Z34" s="1">
        <v>162.77951535082801</v>
      </c>
      <c r="AA34" s="1">
        <v>192.820303569305</v>
      </c>
      <c r="AB34" s="1">
        <v>188.882918387583</v>
      </c>
      <c r="AC34" s="1">
        <v>174.986684900737</v>
      </c>
      <c r="AD34" s="1">
        <f>AVERAGE(C34:AC34)</f>
        <v>175.73287546634816</v>
      </c>
      <c r="AE34" s="1">
        <f>_xlfn.STDEV.P(C34:AC34)</f>
        <v>10.213080016546778</v>
      </c>
      <c r="AF34" s="1">
        <f>AE34/AD34</f>
        <v>5.811707109124567E-2</v>
      </c>
    </row>
    <row r="35" spans="1:32" ht="15" x14ac:dyDescent="0.15">
      <c r="A35" t="s">
        <v>4</v>
      </c>
      <c r="B35" s="4">
        <v>43636.871527777781</v>
      </c>
      <c r="C35" s="1">
        <v>176.111892135375</v>
      </c>
      <c r="D35" s="1">
        <v>181.78996672408499</v>
      </c>
      <c r="E35" s="1">
        <v>152.87022132067699</v>
      </c>
      <c r="F35" s="1">
        <v>144.72848242441199</v>
      </c>
      <c r="G35" s="1">
        <v>173.041916011594</v>
      </c>
      <c r="H35" s="1">
        <v>128.79071120925499</v>
      </c>
      <c r="I35" s="1">
        <v>160.99463805543499</v>
      </c>
      <c r="J35" s="1">
        <v>168.41739685691499</v>
      </c>
      <c r="K35" s="1">
        <v>159.55940375048399</v>
      </c>
      <c r="L35" s="1">
        <v>153.75842367790599</v>
      </c>
      <c r="M35" s="1">
        <v>142.529865121282</v>
      </c>
      <c r="N35" s="1">
        <v>194.21061619829999</v>
      </c>
      <c r="O35" s="1">
        <v>144.954068920157</v>
      </c>
      <c r="P35" s="1">
        <v>146.71503034384301</v>
      </c>
      <c r="Q35" s="1">
        <v>161.63217068585399</v>
      </c>
      <c r="R35" s="1">
        <v>159.141215904208</v>
      </c>
      <c r="S35" s="1">
        <v>156.39911831541301</v>
      </c>
      <c r="T35" s="1">
        <v>150.09404552220099</v>
      </c>
      <c r="U35" s="1">
        <v>162.43705791030601</v>
      </c>
      <c r="V35" s="1">
        <v>161.855767776351</v>
      </c>
      <c r="W35" s="1">
        <v>157.396345597482</v>
      </c>
      <c r="X35" s="1">
        <v>159.614229406226</v>
      </c>
      <c r="Y35" s="1">
        <v>184.91825706362999</v>
      </c>
      <c r="Z35" s="1">
        <v>157.667399883049</v>
      </c>
      <c r="AA35" s="1">
        <v>151.401512444107</v>
      </c>
      <c r="AB35" s="1">
        <v>175.33423051821501</v>
      </c>
      <c r="AC35" s="1">
        <v>155.50840017498101</v>
      </c>
      <c r="AD35" s="1">
        <f>AVERAGE(C35:AC35)</f>
        <v>160.06934755376827</v>
      </c>
      <c r="AE35" s="1">
        <f>_xlfn.STDEV.P(C35:AC35)</f>
        <v>13.928760720783854</v>
      </c>
      <c r="AF35" s="1">
        <f>AE35/AD35</f>
        <v>8.7017039387288678E-2</v>
      </c>
    </row>
    <row r="36" spans="1:32" ht="15" x14ac:dyDescent="0.15">
      <c r="A36" t="s">
        <v>4</v>
      </c>
      <c r="B36" s="4">
        <v>43639.354166666664</v>
      </c>
      <c r="C36" s="1">
        <v>128.72267351810001</v>
      </c>
      <c r="D36" s="1">
        <v>126.649761104893</v>
      </c>
      <c r="E36" s="1">
        <v>127.136077891795</v>
      </c>
      <c r="F36" s="1">
        <v>118.72100504812801</v>
      </c>
      <c r="G36" s="1">
        <v>106.71142280689099</v>
      </c>
      <c r="H36" s="1">
        <v>110.453023427928</v>
      </c>
      <c r="I36" s="1">
        <v>111.866889629648</v>
      </c>
      <c r="J36" s="1">
        <v>115.87810685195799</v>
      </c>
      <c r="K36" s="1">
        <v>101.077384326968</v>
      </c>
      <c r="L36" s="1">
        <v>117.335357158184</v>
      </c>
      <c r="M36" s="1">
        <v>114.17674985875701</v>
      </c>
      <c r="N36" s="1">
        <v>111.04905999959701</v>
      </c>
      <c r="O36" s="1">
        <v>105.30506799096101</v>
      </c>
      <c r="P36" s="1">
        <v>117.84676760495699</v>
      </c>
      <c r="Q36" s="1">
        <v>122.669356721371</v>
      </c>
      <c r="R36" s="1">
        <v>111.984016525076</v>
      </c>
      <c r="S36" s="1">
        <v>150.02248616377301</v>
      </c>
      <c r="T36" s="1">
        <v>129.63345697237</v>
      </c>
      <c r="U36" s="1">
        <v>115.43631758751501</v>
      </c>
      <c r="V36" s="1">
        <v>115.76304166855201</v>
      </c>
      <c r="W36" s="1">
        <v>116.159984620038</v>
      </c>
      <c r="X36" s="1">
        <v>136.94864755009201</v>
      </c>
      <c r="Y36" s="1">
        <v>115.401805533627</v>
      </c>
      <c r="Z36" s="1">
        <v>131.766420277355</v>
      </c>
      <c r="AA36" s="1">
        <v>127.941988507432</v>
      </c>
      <c r="AB36" s="1">
        <v>122.429652431031</v>
      </c>
      <c r="AC36" s="1">
        <v>124.70215572022001</v>
      </c>
      <c r="AD36" s="1">
        <f>AVERAGE(C36:AC36)</f>
        <v>119.76995101841545</v>
      </c>
      <c r="AE36" s="1">
        <f>_xlfn.STDEV.P(C36:AC36)</f>
        <v>10.326293007758464</v>
      </c>
      <c r="AF36" s="1">
        <f>AE36/AD36</f>
        <v>8.6217727568167118E-2</v>
      </c>
    </row>
    <row r="37" spans="1:32" ht="15" x14ac:dyDescent="0.15">
      <c r="A37" t="s">
        <v>4</v>
      </c>
      <c r="B37" s="4">
        <v>43649.704861111109</v>
      </c>
      <c r="C37" s="1">
        <v>81.766581989843601</v>
      </c>
      <c r="D37" s="1">
        <v>93.071676352558697</v>
      </c>
      <c r="E37" s="1">
        <v>93.930456781596007</v>
      </c>
      <c r="F37" s="1">
        <v>78.3129529088054</v>
      </c>
      <c r="G37" s="1">
        <v>63.238934485520502</v>
      </c>
      <c r="H37" s="1">
        <v>78.943909980606406</v>
      </c>
      <c r="I37" s="1">
        <v>90.621100166629304</v>
      </c>
      <c r="J37" s="1">
        <v>66.225629239117893</v>
      </c>
      <c r="K37" s="1">
        <v>75.320796473196495</v>
      </c>
      <c r="L37" s="1">
        <v>75.911337654593694</v>
      </c>
      <c r="M37" s="1">
        <v>78.459106450600899</v>
      </c>
      <c r="N37" s="1">
        <v>78.556407235224796</v>
      </c>
      <c r="O37" s="1">
        <v>80.395580187255803</v>
      </c>
      <c r="P37" s="1">
        <v>81.3870135829373</v>
      </c>
      <c r="Q37" s="1">
        <v>75.394860854694699</v>
      </c>
      <c r="R37" s="1">
        <v>71.696980832870096</v>
      </c>
      <c r="S37" s="1">
        <v>76.865807262108504</v>
      </c>
      <c r="T37" s="1">
        <v>69.9513818067133</v>
      </c>
      <c r="U37" s="1">
        <v>84.723363955055206</v>
      </c>
      <c r="V37" s="1">
        <v>82.333041508682598</v>
      </c>
      <c r="W37" s="1">
        <v>73.518461397860307</v>
      </c>
      <c r="X37" s="1">
        <v>75.113670076096994</v>
      </c>
      <c r="Y37" s="1">
        <v>87.575720380262297</v>
      </c>
      <c r="Z37" s="1">
        <v>82.635227030585895</v>
      </c>
      <c r="AA37" s="1">
        <v>72.572207993019404</v>
      </c>
      <c r="AB37" s="1">
        <v>84.396640487733904</v>
      </c>
      <c r="AC37" s="1">
        <v>81.613779801594106</v>
      </c>
      <c r="AD37" s="1">
        <f>AVERAGE(C37:AC37)</f>
        <v>79.056763958361643</v>
      </c>
      <c r="AE37" s="1">
        <f>_xlfn.STDEV.P(C37:AC37)</f>
        <v>7.2332562230349806</v>
      </c>
      <c r="AF37" s="1">
        <f>AE37/AD37</f>
        <v>9.1494463735508569E-2</v>
      </c>
    </row>
    <row r="38" spans="1:32" ht="15" x14ac:dyDescent="0.15">
      <c r="A38" t="s">
        <v>4</v>
      </c>
      <c r="B38" s="4">
        <v>43655.982638888891</v>
      </c>
      <c r="C38" s="1">
        <v>182.14154864944601</v>
      </c>
      <c r="D38" s="1">
        <v>198.71959611598999</v>
      </c>
      <c r="E38" s="1">
        <v>164.14370642054701</v>
      </c>
      <c r="F38" s="1">
        <v>165.990283045371</v>
      </c>
      <c r="G38" s="1">
        <v>173.10401410184801</v>
      </c>
      <c r="H38" s="1">
        <v>180.623895941375</v>
      </c>
      <c r="I38" s="1">
        <v>187.23344073390899</v>
      </c>
      <c r="J38" s="1">
        <v>161.10773292551499</v>
      </c>
      <c r="K38" s="1">
        <v>198.37451261436999</v>
      </c>
      <c r="L38" s="1">
        <v>169.803991378734</v>
      </c>
      <c r="M38" s="1">
        <v>156.73050722046301</v>
      </c>
      <c r="N38" s="1">
        <v>183.77509446939001</v>
      </c>
      <c r="O38" s="1">
        <v>201.67152375596399</v>
      </c>
      <c r="P38" s="1">
        <v>171.425594308559</v>
      </c>
      <c r="Q38" s="1">
        <v>172.202358346262</v>
      </c>
      <c r="R38" s="1">
        <v>186.36309840473601</v>
      </c>
      <c r="S38" s="1">
        <v>185.573037864426</v>
      </c>
      <c r="T38" s="1">
        <v>180.287310167416</v>
      </c>
      <c r="U38" s="1">
        <v>168.755728348036</v>
      </c>
      <c r="V38" s="1">
        <v>182.78486680888801</v>
      </c>
      <c r="W38" s="1">
        <v>170.607243491552</v>
      </c>
      <c r="X38" s="1">
        <v>172.256007469065</v>
      </c>
      <c r="Y38" s="1">
        <v>174.471151448017</v>
      </c>
      <c r="Z38" s="1">
        <v>175.16147240723501</v>
      </c>
      <c r="AA38" s="1">
        <v>186.46840121823899</v>
      </c>
      <c r="AB38" s="1">
        <v>198.75951776628199</v>
      </c>
      <c r="AC38" s="1">
        <v>182.89274670200601</v>
      </c>
      <c r="AD38" s="1">
        <f>AVERAGE(C38:AC38)</f>
        <v>178.94179193050519</v>
      </c>
      <c r="AE38" s="1">
        <f>_xlfn.STDEV.P(C38:AC38)</f>
        <v>11.612658780932321</v>
      </c>
      <c r="AF38" s="1">
        <f>AE38/AD38</f>
        <v>6.4896292004509915E-2</v>
      </c>
    </row>
    <row r="39" spans="1:32" ht="15" x14ac:dyDescent="0.15">
      <c r="A39" t="s">
        <v>4</v>
      </c>
      <c r="B39" s="4">
        <v>43664.604166666664</v>
      </c>
      <c r="C39" s="1">
        <v>111.990663124997</v>
      </c>
      <c r="D39" s="1">
        <v>116.335700518679</v>
      </c>
      <c r="E39" s="1">
        <v>103.251069611593</v>
      </c>
      <c r="F39" s="1">
        <v>110.296269353836</v>
      </c>
      <c r="G39" s="1">
        <v>106.699607101992</v>
      </c>
      <c r="H39" s="1">
        <v>109.648474907785</v>
      </c>
      <c r="I39" s="1">
        <v>101.61656899915501</v>
      </c>
      <c r="J39" s="1">
        <v>107.49861553913</v>
      </c>
      <c r="K39" s="1">
        <v>97.211874674446705</v>
      </c>
      <c r="L39" s="1">
        <v>110.494293462228</v>
      </c>
      <c r="M39" s="1">
        <v>109.37915168797301</v>
      </c>
      <c r="N39" s="1">
        <v>106.807029492868</v>
      </c>
      <c r="O39" s="1">
        <v>109.78782637349801</v>
      </c>
      <c r="P39" s="1">
        <v>103.579181312396</v>
      </c>
      <c r="Q39" s="1">
        <v>114.847518553703</v>
      </c>
      <c r="R39" s="1">
        <v>111.832282028633</v>
      </c>
      <c r="S39" s="1">
        <v>126.337170405346</v>
      </c>
      <c r="T39" s="1">
        <v>108.71347780721899</v>
      </c>
      <c r="U39" s="1">
        <v>102.33392898900399</v>
      </c>
      <c r="V39" s="1">
        <v>106.121452853091</v>
      </c>
      <c r="W39" s="1">
        <v>111.935817528819</v>
      </c>
      <c r="X39" s="1">
        <v>123.55144578445</v>
      </c>
      <c r="Y39" s="1">
        <v>117.66883705592301</v>
      </c>
      <c r="Z39" s="1">
        <v>114.575906937551</v>
      </c>
      <c r="AA39" s="1">
        <v>112.36981699550201</v>
      </c>
      <c r="AB39" s="1">
        <v>107.814922992159</v>
      </c>
      <c r="AC39" s="1">
        <v>114.555705083563</v>
      </c>
      <c r="AD39" s="1">
        <f>AVERAGE(C39:AC39)</f>
        <v>110.26868922872372</v>
      </c>
      <c r="AE39" s="1">
        <f>_xlfn.STDEV.P(C39:AC39)</f>
        <v>6.2612512293283551</v>
      </c>
      <c r="AF39" s="1">
        <f>AE39/AD39</f>
        <v>5.6781768905777213E-2</v>
      </c>
    </row>
    <row r="40" spans="1:32" ht="15" x14ac:dyDescent="0.15">
      <c r="A40" t="s">
        <v>4</v>
      </c>
      <c r="B40" s="4">
        <v>43683.635416666664</v>
      </c>
      <c r="C40" s="1">
        <v>202.060761123492</v>
      </c>
      <c r="D40" s="1">
        <v>163.24288470571901</v>
      </c>
      <c r="E40" s="1">
        <v>200.74825261205299</v>
      </c>
      <c r="F40" s="1">
        <v>177.29687829056101</v>
      </c>
      <c r="G40" s="1">
        <v>147.728741240305</v>
      </c>
      <c r="H40" s="1">
        <v>145.40468044038701</v>
      </c>
      <c r="I40" s="1">
        <v>137.86385142446699</v>
      </c>
      <c r="J40" s="1">
        <v>177.10351019438201</v>
      </c>
      <c r="K40" s="1">
        <v>152.20913612357199</v>
      </c>
      <c r="L40" s="1">
        <v>141.96888903207</v>
      </c>
      <c r="M40" s="1">
        <v>131.22799790940201</v>
      </c>
      <c r="N40" s="1">
        <v>164.890156415207</v>
      </c>
      <c r="O40" s="1">
        <v>179.77119396753301</v>
      </c>
      <c r="P40" s="1">
        <v>161.76286360002601</v>
      </c>
      <c r="Q40" s="1">
        <v>175.349558563805</v>
      </c>
      <c r="R40" s="1">
        <v>162.41383017955201</v>
      </c>
      <c r="S40" s="1">
        <v>170.05227574488401</v>
      </c>
      <c r="T40" s="1">
        <v>199.49348457442301</v>
      </c>
      <c r="U40" s="1">
        <v>181.311925428866</v>
      </c>
      <c r="V40" s="1">
        <v>179.530177757579</v>
      </c>
      <c r="W40" s="1">
        <v>182.89656922513899</v>
      </c>
      <c r="X40" s="1">
        <v>200.52279101660901</v>
      </c>
      <c r="Y40" s="1">
        <v>152.31558464887601</v>
      </c>
      <c r="Z40" s="1">
        <v>197.79538949309801</v>
      </c>
      <c r="AA40" s="1">
        <v>181.79768661236201</v>
      </c>
      <c r="AB40" s="1">
        <v>158.102666750819</v>
      </c>
      <c r="AC40" s="1">
        <v>171.55957316625401</v>
      </c>
      <c r="AD40" s="1">
        <f>AVERAGE(C40:AC40)</f>
        <v>170.23782630523857</v>
      </c>
      <c r="AE40" s="1">
        <f>_xlfn.STDEV.P(C40:AC40)</f>
        <v>19.898898185005308</v>
      </c>
      <c r="AF40" s="1">
        <f>AE40/AD40</f>
        <v>0.11688881734971364</v>
      </c>
    </row>
    <row r="41" spans="1:32" ht="15" x14ac:dyDescent="0.15">
      <c r="A41" t="s">
        <v>4</v>
      </c>
      <c r="B41" s="4">
        <v>43699.8125</v>
      </c>
      <c r="C41" s="1">
        <v>105.258647118299</v>
      </c>
      <c r="D41" s="1">
        <v>112.42210275183</v>
      </c>
      <c r="E41" s="1">
        <v>100.171062440459</v>
      </c>
      <c r="F41" s="1">
        <v>103.092908485339</v>
      </c>
      <c r="G41" s="1">
        <v>91.402905198028606</v>
      </c>
      <c r="H41" s="1">
        <v>100.323031908449</v>
      </c>
      <c r="I41" s="1">
        <v>87.448651812113894</v>
      </c>
      <c r="J41" s="1">
        <v>105.08132939060999</v>
      </c>
      <c r="K41" s="1">
        <v>91.049248916195197</v>
      </c>
      <c r="L41" s="1">
        <v>100.90173537390299</v>
      </c>
      <c r="M41" s="1">
        <v>109.730835074015</v>
      </c>
      <c r="N41" s="1">
        <v>95.723208265543605</v>
      </c>
      <c r="O41" s="1">
        <v>103.07950358354</v>
      </c>
      <c r="P41" s="1">
        <v>102.01410977137</v>
      </c>
      <c r="Q41" s="1">
        <v>104.811145114027</v>
      </c>
      <c r="R41" s="1">
        <v>96.535355167831497</v>
      </c>
      <c r="S41" s="1">
        <v>124.641431301507</v>
      </c>
      <c r="T41" s="1">
        <v>110.698181878874</v>
      </c>
      <c r="U41" s="1">
        <v>99.510120203298001</v>
      </c>
      <c r="V41" s="1">
        <v>100.261444045632</v>
      </c>
      <c r="W41" s="1">
        <v>100.01575519056399</v>
      </c>
      <c r="X41" s="1">
        <v>115.129805501695</v>
      </c>
      <c r="Y41" s="1">
        <v>96.516244753729595</v>
      </c>
      <c r="Z41" s="1">
        <v>112.924773034213</v>
      </c>
      <c r="AA41" s="1">
        <v>104.563568295697</v>
      </c>
      <c r="AB41" s="1">
        <v>102.956745864288</v>
      </c>
      <c r="AC41" s="1">
        <v>106.875930932088</v>
      </c>
      <c r="AD41" s="1">
        <f>AVERAGE(C41:AC41)</f>
        <v>103.07925116196813</v>
      </c>
      <c r="AE41" s="1">
        <f>_xlfn.STDEV.P(C41:AC41)</f>
        <v>7.7993917618432391</v>
      </c>
      <c r="AF41" s="1">
        <f>AE41/AD41</f>
        <v>7.5664032032868353E-2</v>
      </c>
    </row>
    <row r="42" spans="1:32" ht="15" x14ac:dyDescent="0.15">
      <c r="A42" t="s">
        <v>4</v>
      </c>
      <c r="B42" s="4">
        <v>43717.454861111109</v>
      </c>
      <c r="C42" s="1">
        <v>65.369792145041103</v>
      </c>
      <c r="D42" s="1">
        <v>63.039744946141397</v>
      </c>
      <c r="E42" s="1">
        <v>70.446752072146793</v>
      </c>
      <c r="F42" s="1">
        <v>64.771620832104702</v>
      </c>
      <c r="G42" s="1">
        <v>54.705946365884898</v>
      </c>
      <c r="H42" s="1">
        <v>74.149348516146205</v>
      </c>
      <c r="I42" s="1">
        <v>71.115231294701502</v>
      </c>
      <c r="J42" s="1">
        <v>59.516468574875901</v>
      </c>
      <c r="K42" s="1">
        <v>52.4498039932678</v>
      </c>
      <c r="L42" s="1">
        <v>69.564236972285798</v>
      </c>
      <c r="M42" s="1">
        <v>74.2726710163722</v>
      </c>
      <c r="N42" s="1">
        <v>67.866830991799802</v>
      </c>
      <c r="O42" s="1">
        <v>78.940015662446996</v>
      </c>
      <c r="P42" s="1">
        <v>71.4185873941707</v>
      </c>
      <c r="Q42" s="1">
        <v>87.094228890691795</v>
      </c>
      <c r="R42" s="1">
        <v>63.133837368206997</v>
      </c>
      <c r="S42" s="1">
        <v>69.927846159594296</v>
      </c>
      <c r="T42" s="1">
        <v>68.011260038646896</v>
      </c>
      <c r="U42" s="1">
        <v>63.590184341075002</v>
      </c>
      <c r="V42" s="1">
        <v>66.1156484388937</v>
      </c>
      <c r="W42" s="1">
        <v>61.974484082022201</v>
      </c>
      <c r="X42" s="1">
        <v>67.6298010105928</v>
      </c>
      <c r="Y42" s="1">
        <v>67.778530307372307</v>
      </c>
      <c r="Z42" s="1">
        <v>67.488597923618102</v>
      </c>
      <c r="AA42" s="1">
        <v>76.067018880925104</v>
      </c>
      <c r="AB42" s="1">
        <v>68.985737680440593</v>
      </c>
      <c r="AC42" s="1">
        <v>61.724304020458497</v>
      </c>
      <c r="AD42" s="1">
        <f>AVERAGE(C42:AC42)</f>
        <v>67.672167774811996</v>
      </c>
      <c r="AE42" s="1">
        <f>_xlfn.STDEV.P(C42:AC42)</f>
        <v>6.9745869838565033</v>
      </c>
      <c r="AF42" s="1">
        <f>AE42/AD42</f>
        <v>0.10306433520890532</v>
      </c>
    </row>
    <row r="43" spans="1:32" ht="15" x14ac:dyDescent="0.15">
      <c r="A43" t="s">
        <v>5</v>
      </c>
      <c r="B43" s="4">
        <v>43291.239583333336</v>
      </c>
      <c r="C43" s="1">
        <v>136.29057675200201</v>
      </c>
      <c r="D43" s="1">
        <v>142.21827641828699</v>
      </c>
      <c r="E43" s="1">
        <v>143.01991485488301</v>
      </c>
      <c r="F43" s="1">
        <v>128.84266673199701</v>
      </c>
      <c r="G43" s="1">
        <v>124.079014349014</v>
      </c>
      <c r="H43" s="1">
        <v>129.834294884108</v>
      </c>
      <c r="I43" s="1">
        <v>119.70631887119499</v>
      </c>
      <c r="J43" s="1">
        <v>137.40285645017801</v>
      </c>
      <c r="K43" s="1">
        <v>112.199628926038</v>
      </c>
      <c r="L43" s="1">
        <v>129.97164933372801</v>
      </c>
      <c r="M43" s="1">
        <v>143.343265090843</v>
      </c>
      <c r="N43" s="1">
        <v>122.523254545138</v>
      </c>
      <c r="O43" s="1">
        <v>123.462021909058</v>
      </c>
      <c r="P43" s="1">
        <v>123.58029145129601</v>
      </c>
      <c r="Q43" s="1">
        <v>123.224649540078</v>
      </c>
      <c r="R43" s="1">
        <v>120.76340276594</v>
      </c>
      <c r="S43" s="1">
        <v>140.65748529203799</v>
      </c>
      <c r="T43" s="1">
        <v>136.18581393315301</v>
      </c>
      <c r="U43" s="1">
        <v>128.032815159644</v>
      </c>
      <c r="V43" s="1">
        <v>130.57308989021399</v>
      </c>
      <c r="W43" s="1">
        <v>132.808327131715</v>
      </c>
      <c r="X43" s="1">
        <v>132.73440260220301</v>
      </c>
      <c r="Y43" s="1">
        <v>133.39174213109899</v>
      </c>
      <c r="Z43" s="1">
        <v>138.020347577102</v>
      </c>
      <c r="AA43" s="1">
        <v>139.399306925172</v>
      </c>
      <c r="AB43" s="1">
        <v>122.825202984707</v>
      </c>
      <c r="AC43" s="1">
        <v>129.82822775225401</v>
      </c>
      <c r="AD43" s="1">
        <f>AVERAGE(C43:AC43)</f>
        <v>130.55254978715124</v>
      </c>
      <c r="AE43" s="1">
        <f>_xlfn.STDEV.P(C43:AC43)</f>
        <v>7.9358263299659484</v>
      </c>
      <c r="AF43" s="1">
        <f>AE43/AD43</f>
        <v>6.0786452220996601E-2</v>
      </c>
    </row>
    <row r="44" spans="1:32" ht="15" x14ac:dyDescent="0.15">
      <c r="A44" t="s">
        <v>5</v>
      </c>
      <c r="B44" s="4">
        <v>43307.482638888891</v>
      </c>
      <c r="C44" s="1">
        <v>228.16474749632201</v>
      </c>
      <c r="D44" s="1">
        <v>214.36471356291901</v>
      </c>
      <c r="E44" s="1">
        <v>195.20322065984399</v>
      </c>
      <c r="F44" s="1">
        <v>194.63316809467599</v>
      </c>
      <c r="G44" s="1">
        <v>224.53531686122</v>
      </c>
      <c r="H44" s="1">
        <v>245.733988619093</v>
      </c>
      <c r="I44" s="1">
        <v>233.28674818705599</v>
      </c>
      <c r="J44" s="1">
        <v>223.97253849999601</v>
      </c>
      <c r="K44" s="1">
        <v>229.79197987404001</v>
      </c>
      <c r="L44" s="1">
        <v>235.12258957484701</v>
      </c>
      <c r="M44" s="1">
        <v>237.844336256433</v>
      </c>
      <c r="N44" s="1">
        <v>210.76960011152499</v>
      </c>
      <c r="O44" s="1">
        <v>243.07144340976299</v>
      </c>
      <c r="P44" s="1">
        <v>229.69905045306501</v>
      </c>
      <c r="Q44" s="1">
        <v>196.56373297143699</v>
      </c>
      <c r="R44" s="1">
        <v>235.26798307608101</v>
      </c>
      <c r="S44" s="1">
        <v>257.982413212349</v>
      </c>
      <c r="T44" s="1">
        <v>185.34355564818799</v>
      </c>
      <c r="U44" s="1">
        <v>246.403631097154</v>
      </c>
      <c r="V44" s="1">
        <v>225.815154667824</v>
      </c>
      <c r="W44" s="1">
        <v>223.13032058053599</v>
      </c>
      <c r="X44" s="1">
        <v>218.463215417881</v>
      </c>
      <c r="Y44" s="1">
        <v>228.05261737209699</v>
      </c>
      <c r="Z44" s="1">
        <v>242.497301088954</v>
      </c>
      <c r="AA44" s="1">
        <v>238.54000390561799</v>
      </c>
      <c r="AB44" s="1">
        <v>207.819058387935</v>
      </c>
      <c r="AC44" s="1">
        <v>225.669970221695</v>
      </c>
      <c r="AD44" s="1">
        <f>AVERAGE(C44:AC44)</f>
        <v>225.10157034476103</v>
      </c>
      <c r="AE44" s="1">
        <f>_xlfn.STDEV.P(C44:AC44)</f>
        <v>17.371985456045149</v>
      </c>
      <c r="AF44" s="1">
        <f>AE44/AD44</f>
        <v>7.7173986078544754E-2</v>
      </c>
    </row>
    <row r="45" spans="1:32" ht="15" x14ac:dyDescent="0.15">
      <c r="A45" t="s">
        <v>5</v>
      </c>
      <c r="B45" s="4">
        <v>43376.3125</v>
      </c>
      <c r="C45" s="1">
        <v>131.783267798059</v>
      </c>
      <c r="D45" s="1">
        <v>127.81933409467</v>
      </c>
      <c r="E45" s="1">
        <v>122.876812393112</v>
      </c>
      <c r="F45" s="1">
        <v>132.971835703186</v>
      </c>
      <c r="G45" s="1">
        <v>124.63594297506801</v>
      </c>
      <c r="H45" s="1">
        <v>112.903510036215</v>
      </c>
      <c r="I45" s="1">
        <v>120.840899224807</v>
      </c>
      <c r="J45" s="1">
        <v>148.86031921536099</v>
      </c>
      <c r="K45" s="1">
        <v>121.778604326218</v>
      </c>
      <c r="L45" s="1">
        <v>127.25464883113099</v>
      </c>
      <c r="M45" s="1">
        <v>138.55921856908699</v>
      </c>
      <c r="N45" s="1">
        <v>122.273500238907</v>
      </c>
      <c r="O45" s="1">
        <v>125.070308377891</v>
      </c>
      <c r="P45" s="1">
        <v>136.97846231552001</v>
      </c>
      <c r="Q45" s="1">
        <v>125.179990212864</v>
      </c>
      <c r="R45" s="1">
        <v>121.929605729426</v>
      </c>
      <c r="S45" s="1">
        <v>142.388751660607</v>
      </c>
      <c r="T45" s="1">
        <v>126.927525075129</v>
      </c>
      <c r="U45" s="1">
        <v>119.171898108693</v>
      </c>
      <c r="V45" s="1">
        <v>127.79644153472201</v>
      </c>
      <c r="W45" s="1">
        <v>133.93558349615901</v>
      </c>
      <c r="X45" s="1">
        <v>147.065201459734</v>
      </c>
      <c r="Y45" s="1">
        <v>126.333155756143</v>
      </c>
      <c r="Z45" s="1">
        <v>131.52155118629699</v>
      </c>
      <c r="AA45" s="1">
        <v>126.249224442745</v>
      </c>
      <c r="AB45" s="1">
        <v>126.784434591424</v>
      </c>
      <c r="AC45" s="1">
        <v>138.79105350171301</v>
      </c>
      <c r="AD45" s="1">
        <f>AVERAGE(C45:AC45)</f>
        <v>129.21041040203286</v>
      </c>
      <c r="AE45" s="1">
        <f>_xlfn.STDEV.P(C45:AC45)</f>
        <v>8.3665466855247743</v>
      </c>
      <c r="AF45" s="1">
        <f>AE45/AD45</f>
        <v>6.4751335898497728E-2</v>
      </c>
    </row>
    <row r="46" spans="1:32" ht="15" x14ac:dyDescent="0.15">
      <c r="A46" t="s">
        <v>5</v>
      </c>
      <c r="B46" s="4">
        <v>43583.416666666664</v>
      </c>
      <c r="C46" s="1">
        <v>180.431999510449</v>
      </c>
      <c r="D46" s="1">
        <v>172.362832814092</v>
      </c>
      <c r="E46" s="1">
        <v>187.026084669299</v>
      </c>
      <c r="F46" s="1">
        <v>184.92189897540399</v>
      </c>
      <c r="G46" s="1">
        <v>191.63869354056101</v>
      </c>
      <c r="H46" s="1">
        <v>193.272142060579</v>
      </c>
      <c r="I46" s="1">
        <v>174.08730605247001</v>
      </c>
      <c r="J46" s="1">
        <v>184.94166436522201</v>
      </c>
      <c r="K46" s="1">
        <v>204.253512403348</v>
      </c>
      <c r="L46" s="1">
        <v>184.13435260429699</v>
      </c>
      <c r="M46" s="1">
        <v>173.53769582796701</v>
      </c>
      <c r="N46" s="1">
        <v>186.46071761235001</v>
      </c>
      <c r="O46" s="1">
        <v>186.754920055707</v>
      </c>
      <c r="P46" s="1">
        <v>204.15027428006701</v>
      </c>
      <c r="Q46" s="1">
        <v>177.67326863641</v>
      </c>
      <c r="R46" s="1">
        <v>186.92591450630701</v>
      </c>
      <c r="S46" s="1">
        <v>199.943543496628</v>
      </c>
      <c r="T46" s="1">
        <v>175.52890717729699</v>
      </c>
      <c r="U46" s="1">
        <v>179.59470023994899</v>
      </c>
      <c r="V46" s="1">
        <v>196.17576153547299</v>
      </c>
      <c r="W46" s="1">
        <v>181.010194340895</v>
      </c>
      <c r="X46" s="1">
        <v>198.53754830402201</v>
      </c>
      <c r="Y46" s="1">
        <v>183.13958135625401</v>
      </c>
      <c r="Z46" s="1">
        <v>179.931130962136</v>
      </c>
      <c r="AA46" s="1">
        <v>178.664317136032</v>
      </c>
      <c r="AB46" s="1">
        <v>186.65739831561399</v>
      </c>
      <c r="AC46" s="1">
        <v>194.82583338757999</v>
      </c>
      <c r="AD46" s="1">
        <f>AVERAGE(C46:AC46)</f>
        <v>186.16971089505219</v>
      </c>
      <c r="AE46" s="1">
        <f>_xlfn.STDEV.P(C46:AC46)</f>
        <v>8.9160526801504005</v>
      </c>
      <c r="AF46" s="1">
        <f>AE46/AD46</f>
        <v>4.7892069216224804E-2</v>
      </c>
    </row>
    <row r="47" spans="1:32" ht="15" x14ac:dyDescent="0.15">
      <c r="A47" t="s">
        <v>5</v>
      </c>
      <c r="B47" s="4">
        <v>43606.100694444445</v>
      </c>
      <c r="C47" s="1">
        <v>156.594095416963</v>
      </c>
      <c r="D47" s="1">
        <v>156.00331281029801</v>
      </c>
      <c r="E47" s="1">
        <v>164.765817165247</v>
      </c>
      <c r="F47" s="1">
        <v>160.28168261432799</v>
      </c>
      <c r="G47" s="1">
        <v>143.597702986196</v>
      </c>
      <c r="H47" s="1">
        <v>141.39918746592201</v>
      </c>
      <c r="I47" s="1">
        <v>153.34907456613601</v>
      </c>
      <c r="J47" s="1">
        <v>158.29216031451699</v>
      </c>
      <c r="K47" s="1">
        <v>129.46995417835299</v>
      </c>
      <c r="L47" s="1">
        <v>154.556652226686</v>
      </c>
      <c r="M47" s="1">
        <v>145.62896797910801</v>
      </c>
      <c r="N47" s="1">
        <v>142.937690316854</v>
      </c>
      <c r="O47" s="1">
        <v>147.61090452512099</v>
      </c>
      <c r="P47" s="1">
        <v>147.03937508416701</v>
      </c>
      <c r="Q47" s="1">
        <v>161.69432544161199</v>
      </c>
      <c r="R47" s="1">
        <v>141.126524756707</v>
      </c>
      <c r="S47" s="1">
        <v>171.997914276713</v>
      </c>
      <c r="T47" s="1">
        <v>158.907937228669</v>
      </c>
      <c r="U47" s="1">
        <v>138.09210823199399</v>
      </c>
      <c r="V47" s="1">
        <v>150.29003852715701</v>
      </c>
      <c r="W47" s="1">
        <v>154.58810457308999</v>
      </c>
      <c r="X47" s="1">
        <v>167.67939880155799</v>
      </c>
      <c r="Y47" s="1">
        <v>149.141663971214</v>
      </c>
      <c r="Z47" s="1">
        <v>162.50503500268599</v>
      </c>
      <c r="AA47" s="1">
        <v>154.93250955657001</v>
      </c>
      <c r="AB47" s="1">
        <v>155.277566802363</v>
      </c>
      <c r="AC47" s="1">
        <v>161.13776447109899</v>
      </c>
      <c r="AD47" s="1">
        <f>AVERAGE(C47:AC47)</f>
        <v>152.92212849227141</v>
      </c>
      <c r="AE47" s="1">
        <f>_xlfn.STDEV.P(C47:AC47)</f>
        <v>9.5857734030038841</v>
      </c>
      <c r="AF47" s="1">
        <f>AE47/AD47</f>
        <v>6.2684017659931687E-2</v>
      </c>
    </row>
    <row r="48" spans="1:32" ht="15" x14ac:dyDescent="0.15">
      <c r="A48" t="s">
        <v>5</v>
      </c>
      <c r="B48" s="4">
        <v>43622.569444444445</v>
      </c>
      <c r="C48" s="1">
        <v>313.07147014657897</v>
      </c>
      <c r="D48" s="1">
        <v>244.658828993426</v>
      </c>
      <c r="E48" s="1">
        <v>334.34141724035601</v>
      </c>
      <c r="F48" s="1">
        <v>309.15444727944902</v>
      </c>
      <c r="G48" s="1">
        <v>316.45386739003601</v>
      </c>
      <c r="H48" s="1">
        <v>271.45288368089501</v>
      </c>
      <c r="I48" s="1">
        <v>253.83023442950801</v>
      </c>
      <c r="J48" s="1">
        <v>278.43631538716897</v>
      </c>
      <c r="K48" s="1">
        <v>220.33449313442799</v>
      </c>
      <c r="L48" s="1">
        <v>234.51485723757099</v>
      </c>
      <c r="M48" s="1">
        <v>270.18434953173698</v>
      </c>
      <c r="N48" s="1">
        <v>270.310917262499</v>
      </c>
      <c r="O48" s="1">
        <v>245.46196589589999</v>
      </c>
      <c r="P48" s="1">
        <v>254.60827785016099</v>
      </c>
      <c r="Q48" s="1">
        <v>304.58230730403898</v>
      </c>
      <c r="R48" s="1">
        <v>261.74981193796702</v>
      </c>
      <c r="S48" s="1">
        <v>267.07561807606299</v>
      </c>
      <c r="T48" s="1">
        <v>299.31813008794501</v>
      </c>
      <c r="U48" s="1">
        <v>256.37896750852599</v>
      </c>
      <c r="V48" s="1">
        <v>253.89016136306199</v>
      </c>
      <c r="W48" s="1">
        <v>315.86233706462798</v>
      </c>
      <c r="X48" s="1">
        <v>273.66329330560302</v>
      </c>
      <c r="Y48" s="1">
        <v>289.45915012632702</v>
      </c>
      <c r="Z48" s="1">
        <v>284.96943453013802</v>
      </c>
      <c r="AA48" s="1">
        <v>260.02672615412899</v>
      </c>
      <c r="AB48" s="1">
        <v>229.860907856371</v>
      </c>
      <c r="AC48" s="1">
        <v>288.73359709834602</v>
      </c>
      <c r="AD48" s="1">
        <f>AVERAGE(C48:AC48)</f>
        <v>274.16239881010591</v>
      </c>
      <c r="AE48" s="1">
        <f>_xlfn.STDEV.P(C48:AC48)</f>
        <v>28.621658275105023</v>
      </c>
      <c r="AF48" s="1">
        <f>AE48/AD48</f>
        <v>0.10439673127798005</v>
      </c>
    </row>
    <row r="49" spans="1:32" ht="15" x14ac:dyDescent="0.15">
      <c r="A49" t="s">
        <v>5</v>
      </c>
      <c r="B49" s="4">
        <v>43624.84375</v>
      </c>
      <c r="C49" s="1">
        <v>188.69816812145299</v>
      </c>
      <c r="D49" s="1">
        <v>166.479089174184</v>
      </c>
      <c r="E49" s="1">
        <v>187.51316595130501</v>
      </c>
      <c r="F49" s="1">
        <v>193.84012216004399</v>
      </c>
      <c r="G49" s="1">
        <v>186.40302351803601</v>
      </c>
      <c r="H49" s="1">
        <v>196.325859745256</v>
      </c>
      <c r="I49" s="1">
        <v>177.62091022344401</v>
      </c>
      <c r="J49" s="1">
        <v>185.030156946353</v>
      </c>
      <c r="K49" s="1">
        <v>186.26364623387701</v>
      </c>
      <c r="L49" s="1">
        <v>180.714440261768</v>
      </c>
      <c r="M49" s="1">
        <v>177.24242833073001</v>
      </c>
      <c r="N49" s="1">
        <v>201.36328278580601</v>
      </c>
      <c r="O49" s="1">
        <v>182.314420406083</v>
      </c>
      <c r="P49" s="1">
        <v>190.29402225714099</v>
      </c>
      <c r="Q49" s="1">
        <v>195.23948093710101</v>
      </c>
      <c r="R49" s="1">
        <v>193.360292291153</v>
      </c>
      <c r="S49" s="1">
        <v>193.29544003846701</v>
      </c>
      <c r="T49" s="1">
        <v>183.898733486574</v>
      </c>
      <c r="U49" s="1">
        <v>188.659516677189</v>
      </c>
      <c r="V49" s="1">
        <v>190.23747836220201</v>
      </c>
      <c r="W49" s="1">
        <v>178.94192085013401</v>
      </c>
      <c r="X49" s="1">
        <v>190.01507766873999</v>
      </c>
      <c r="Y49" s="1">
        <v>196.344638323346</v>
      </c>
      <c r="Z49" s="1">
        <v>187.28531155041199</v>
      </c>
      <c r="AA49" s="1">
        <v>183.97027427646401</v>
      </c>
      <c r="AB49" s="1">
        <v>193.405023719372</v>
      </c>
      <c r="AC49" s="1">
        <v>185.92684633789901</v>
      </c>
      <c r="AD49" s="1">
        <f>AVERAGE(C49:AC49)</f>
        <v>187.43269520868645</v>
      </c>
      <c r="AE49" s="1">
        <f>_xlfn.STDEV.P(C49:AC49)</f>
        <v>7.208900931132133</v>
      </c>
      <c r="AF49" s="1">
        <f>AE49/AD49</f>
        <v>3.8461277650122812E-2</v>
      </c>
    </row>
    <row r="50" spans="1:32" ht="15" x14ac:dyDescent="0.15">
      <c r="A50" t="s">
        <v>5</v>
      </c>
      <c r="B50" s="4">
        <v>43634.972222222219</v>
      </c>
      <c r="C50" s="1">
        <v>236.034604987688</v>
      </c>
      <c r="D50" s="1">
        <v>238.22019057500501</v>
      </c>
      <c r="E50" s="1">
        <v>176.299056413899</v>
      </c>
      <c r="F50" s="1">
        <v>203.07488972456599</v>
      </c>
      <c r="G50" s="1">
        <v>238.68355155652401</v>
      </c>
      <c r="H50" s="1">
        <v>211.845011479238</v>
      </c>
      <c r="I50" s="1">
        <v>223.86560157338999</v>
      </c>
      <c r="J50" s="1">
        <v>228.31956113692499</v>
      </c>
      <c r="K50" s="1">
        <v>244.18636829797401</v>
      </c>
      <c r="L50" s="1">
        <v>236.01558647499601</v>
      </c>
      <c r="M50" s="1">
        <v>216.40661995174901</v>
      </c>
      <c r="N50" s="1">
        <v>202.29654425086099</v>
      </c>
      <c r="O50" s="1">
        <v>242.002305401727</v>
      </c>
      <c r="P50" s="1">
        <v>236.12750268708501</v>
      </c>
      <c r="Q50" s="1">
        <v>201.67441492539299</v>
      </c>
      <c r="R50" s="1">
        <v>202.914444667033</v>
      </c>
      <c r="S50" s="1">
        <v>219.00794859271099</v>
      </c>
      <c r="T50" s="1">
        <v>181.453469981052</v>
      </c>
      <c r="U50" s="1">
        <v>231.535375953688</v>
      </c>
      <c r="V50" s="1">
        <v>226.41834334537501</v>
      </c>
      <c r="W50" s="1">
        <v>208.05226582433599</v>
      </c>
      <c r="X50" s="1">
        <v>223.91776279160001</v>
      </c>
      <c r="Y50" s="1">
        <v>227.52481828872999</v>
      </c>
      <c r="Z50" s="1">
        <v>198.64666599367899</v>
      </c>
      <c r="AA50" s="1">
        <v>233.70112049127499</v>
      </c>
      <c r="AB50" s="1">
        <v>220.76815341434201</v>
      </c>
      <c r="AC50" s="1">
        <v>217.64534217114701</v>
      </c>
      <c r="AD50" s="1">
        <f>AVERAGE(C50:AC50)</f>
        <v>219.50509336859216</v>
      </c>
      <c r="AE50" s="1">
        <f>_xlfn.STDEV.P(C50:AC50)</f>
        <v>17.57924280084228</v>
      </c>
      <c r="AF50" s="1">
        <f>AE50/AD50</f>
        <v>8.0085808174497702E-2</v>
      </c>
    </row>
    <row r="51" spans="1:32" ht="15" x14ac:dyDescent="0.15">
      <c r="A51" t="s">
        <v>5</v>
      </c>
      <c r="B51" s="4">
        <v>43643.128472222219</v>
      </c>
      <c r="C51" s="1">
        <v>247.980247629686</v>
      </c>
      <c r="D51" s="1">
        <v>278.94900149433499</v>
      </c>
      <c r="E51" s="1">
        <v>260.292482764868</v>
      </c>
      <c r="F51" s="1">
        <v>257.879120383094</v>
      </c>
      <c r="G51" s="1">
        <v>259.676135335975</v>
      </c>
      <c r="H51" s="1">
        <v>230.766621362081</v>
      </c>
      <c r="I51" s="1">
        <v>239.73241195483899</v>
      </c>
      <c r="J51" s="1">
        <v>266.28273857249599</v>
      </c>
      <c r="K51" s="1">
        <v>201.267272892672</v>
      </c>
      <c r="L51" s="1">
        <v>227.42515769420501</v>
      </c>
      <c r="M51" s="1">
        <v>252.05347738706601</v>
      </c>
      <c r="N51" s="1">
        <v>261.99231905079</v>
      </c>
      <c r="O51" s="1">
        <v>198.61588641049599</v>
      </c>
      <c r="P51" s="1">
        <v>222.933219239946</v>
      </c>
      <c r="Q51" s="1">
        <v>264.410332252091</v>
      </c>
      <c r="R51" s="1">
        <v>243.73168253765101</v>
      </c>
      <c r="S51" s="1">
        <v>228.42496229212099</v>
      </c>
      <c r="T51" s="1">
        <v>198.42472507200401</v>
      </c>
      <c r="U51" s="1">
        <v>238.81141408913601</v>
      </c>
      <c r="V51" s="1">
        <v>230.38929222259199</v>
      </c>
      <c r="W51" s="1">
        <v>263.43019661953701</v>
      </c>
      <c r="X51" s="1">
        <v>241.069253454754</v>
      </c>
      <c r="Y51" s="1">
        <v>271.73416638954501</v>
      </c>
      <c r="Z51" s="1">
        <v>242.65202054226901</v>
      </c>
      <c r="AA51" s="1">
        <v>207.79519118971899</v>
      </c>
      <c r="AB51" s="1">
        <v>227.94215694078699</v>
      </c>
      <c r="AC51" s="1">
        <v>242.755491350754</v>
      </c>
      <c r="AD51" s="1">
        <f>AVERAGE(C51:AC51)</f>
        <v>241.01544359724105</v>
      </c>
      <c r="AE51" s="1">
        <f>_xlfn.STDEV.P(C51:AC51)</f>
        <v>21.992583147213502</v>
      </c>
      <c r="AF51" s="1">
        <f>AE51/AD51</f>
        <v>9.124968433128762E-2</v>
      </c>
    </row>
    <row r="52" spans="1:32" ht="15" x14ac:dyDescent="0.15">
      <c r="A52" t="s">
        <v>5</v>
      </c>
      <c r="B52" s="4">
        <v>43647.878472222219</v>
      </c>
      <c r="C52" s="1">
        <v>136.34670932549199</v>
      </c>
      <c r="D52" s="1">
        <v>139.283124793219</v>
      </c>
      <c r="E52" s="1">
        <v>143.53430755686901</v>
      </c>
      <c r="F52" s="1">
        <v>137.499646252536</v>
      </c>
      <c r="G52" s="1">
        <v>128.558251039293</v>
      </c>
      <c r="H52" s="1">
        <v>116.24883677227101</v>
      </c>
      <c r="I52" s="1">
        <v>115.986824043231</v>
      </c>
      <c r="J52" s="1">
        <v>136.18765841550999</v>
      </c>
      <c r="K52" s="1">
        <v>110.103493245858</v>
      </c>
      <c r="L52" s="1">
        <v>132.673973286707</v>
      </c>
      <c r="M52" s="1">
        <v>124.110265312183</v>
      </c>
      <c r="N52" s="1">
        <v>120.75186402861</v>
      </c>
      <c r="O52" s="1">
        <v>122.84363694522401</v>
      </c>
      <c r="P52" s="1">
        <v>124.992340885686</v>
      </c>
      <c r="Q52" s="1">
        <v>136.84224072856799</v>
      </c>
      <c r="R52" s="1">
        <v>118.965894027845</v>
      </c>
      <c r="S52" s="1">
        <v>154.954021052428</v>
      </c>
      <c r="T52" s="1">
        <v>134.60804505892699</v>
      </c>
      <c r="U52" s="1">
        <v>118.555985519738</v>
      </c>
      <c r="V52" s="1">
        <v>123.74488078421599</v>
      </c>
      <c r="W52" s="1">
        <v>138.49904781914501</v>
      </c>
      <c r="X52" s="1">
        <v>141.90817069876101</v>
      </c>
      <c r="Y52" s="1">
        <v>128.816859077998</v>
      </c>
      <c r="Z52" s="1">
        <v>142.93015001218501</v>
      </c>
      <c r="AA52" s="1">
        <v>134.194743975004</v>
      </c>
      <c r="AB52" s="1">
        <v>133.488927164812</v>
      </c>
      <c r="AC52" s="1">
        <v>140.75876377435699</v>
      </c>
      <c r="AD52" s="1">
        <f>AVERAGE(C52:AC52)</f>
        <v>131.01439487395083</v>
      </c>
      <c r="AE52" s="1">
        <f>_xlfn.STDEV.P(C52:AC52)</f>
        <v>10.31754606651263</v>
      </c>
      <c r="AF52" s="1">
        <f>AE52/AD52</f>
        <v>7.8751240094183231E-2</v>
      </c>
    </row>
    <row r="53" spans="1:32" ht="15" x14ac:dyDescent="0.15">
      <c r="A53" t="s">
        <v>5</v>
      </c>
      <c r="B53" s="4">
        <v>43649.458333333336</v>
      </c>
      <c r="C53" s="1">
        <v>84.657485137781293</v>
      </c>
      <c r="D53" s="1">
        <v>97.528641259394405</v>
      </c>
      <c r="E53" s="1">
        <v>90.677573768510797</v>
      </c>
      <c r="F53" s="1">
        <v>89.822699096401095</v>
      </c>
      <c r="G53" s="1">
        <v>84.562647948503795</v>
      </c>
      <c r="H53" s="1">
        <v>92.520197406700603</v>
      </c>
      <c r="I53" s="1">
        <v>87.136716770991995</v>
      </c>
      <c r="J53" s="1">
        <v>74.710232287585498</v>
      </c>
      <c r="K53" s="1">
        <v>78.520353071216206</v>
      </c>
      <c r="L53" s="1">
        <v>93.474998189989094</v>
      </c>
      <c r="M53" s="1">
        <v>99.453571663418003</v>
      </c>
      <c r="N53" s="1">
        <v>96.240957624296996</v>
      </c>
      <c r="O53" s="1">
        <v>94.198070390568603</v>
      </c>
      <c r="P53" s="1">
        <v>90.157728328782198</v>
      </c>
      <c r="Q53" s="1">
        <v>82.7357158340685</v>
      </c>
      <c r="R53" s="1">
        <v>83.474065899070794</v>
      </c>
      <c r="S53" s="1">
        <v>92.189373464579901</v>
      </c>
      <c r="T53" s="1">
        <v>87.549113070750906</v>
      </c>
      <c r="U53" s="1">
        <v>90.104411551970202</v>
      </c>
      <c r="V53" s="1">
        <v>98.643406637123704</v>
      </c>
      <c r="W53" s="1">
        <v>87.908832597301597</v>
      </c>
      <c r="X53" s="1">
        <v>90.671259196292695</v>
      </c>
      <c r="Y53" s="1">
        <v>99.398293325589407</v>
      </c>
      <c r="Z53" s="1">
        <v>82.706073954621999</v>
      </c>
      <c r="AA53" s="1">
        <v>85.784607804808005</v>
      </c>
      <c r="AB53" s="1">
        <v>88.623224700650297</v>
      </c>
      <c r="AC53" s="1">
        <v>90.398696695212706</v>
      </c>
      <c r="AD53" s="1">
        <f>AVERAGE(C53:AC53)</f>
        <v>89.401812876895576</v>
      </c>
      <c r="AE53" s="1">
        <f>_xlfn.STDEV.P(C53:AC53)</f>
        <v>6.0578198360608893</v>
      </c>
      <c r="AF53" s="1">
        <f>AE53/AD53</f>
        <v>6.7759474233507769E-2</v>
      </c>
    </row>
    <row r="54" spans="1:32" ht="15" x14ac:dyDescent="0.15">
      <c r="A54" t="s">
        <v>5</v>
      </c>
      <c r="B54" s="4">
        <v>43653.850694444445</v>
      </c>
      <c r="C54" s="1">
        <v>136.365275080738</v>
      </c>
      <c r="D54" s="1">
        <v>127.51364416604601</v>
      </c>
      <c r="E54" s="1">
        <v>124.222544792967</v>
      </c>
      <c r="F54" s="1">
        <v>131.04443050780699</v>
      </c>
      <c r="G54" s="1">
        <v>117.713851289413</v>
      </c>
      <c r="H54" s="1">
        <v>106.37992279420899</v>
      </c>
      <c r="I54" s="1">
        <v>123.040998938996</v>
      </c>
      <c r="J54" s="1">
        <v>130.62989555831001</v>
      </c>
      <c r="K54" s="1">
        <v>102.175848309337</v>
      </c>
      <c r="L54" s="1">
        <v>128.10781402986899</v>
      </c>
      <c r="M54" s="1">
        <v>119.18337103691999</v>
      </c>
      <c r="N54" s="1">
        <v>111.980074743298</v>
      </c>
      <c r="O54" s="1">
        <v>119.946062469682</v>
      </c>
      <c r="P54" s="1">
        <v>119.559732022677</v>
      </c>
      <c r="Q54" s="1">
        <v>123.498197552194</v>
      </c>
      <c r="R54" s="1">
        <v>108.960084745979</v>
      </c>
      <c r="S54" s="1">
        <v>144.71709971266199</v>
      </c>
      <c r="T54" s="1">
        <v>121.465041531227</v>
      </c>
      <c r="U54" s="1">
        <v>108.65837651933499</v>
      </c>
      <c r="V54" s="1">
        <v>116.57648967431101</v>
      </c>
      <c r="W54" s="1">
        <v>131.10993032588999</v>
      </c>
      <c r="X54" s="1">
        <v>138.71129976880499</v>
      </c>
      <c r="Y54" s="1">
        <v>120.980278063283</v>
      </c>
      <c r="Z54" s="1">
        <v>129.08983270279401</v>
      </c>
      <c r="AA54" s="1">
        <v>122.2224353292</v>
      </c>
      <c r="AB54" s="1">
        <v>123.12242183156999</v>
      </c>
      <c r="AC54" s="1">
        <v>129.09186400144799</v>
      </c>
      <c r="AD54" s="1">
        <f>AVERAGE(C54:AC54)</f>
        <v>122.81728953699877</v>
      </c>
      <c r="AE54" s="1">
        <f>_xlfn.STDEV.P(C54:AC54)</f>
        <v>9.7247502116744986</v>
      </c>
      <c r="AF54" s="1">
        <f>AE54/AD54</f>
        <v>7.9180628788790466E-2</v>
      </c>
    </row>
    <row r="55" spans="1:32" ht="15" x14ac:dyDescent="0.15">
      <c r="A55" t="s">
        <v>5</v>
      </c>
      <c r="B55" s="4">
        <v>43664.625</v>
      </c>
      <c r="C55" s="1">
        <v>134.77520486212001</v>
      </c>
      <c r="D55" s="1">
        <v>126.89991545044801</v>
      </c>
      <c r="E55" s="1">
        <v>127.452390335622</v>
      </c>
      <c r="F55" s="1">
        <v>130.77739907850099</v>
      </c>
      <c r="G55" s="1">
        <v>130.55318302786401</v>
      </c>
      <c r="H55" s="1">
        <v>123.41247461010001</v>
      </c>
      <c r="I55" s="1">
        <v>117.367154914048</v>
      </c>
      <c r="J55" s="1">
        <v>138.880047512071</v>
      </c>
      <c r="K55" s="1">
        <v>113.535522545419</v>
      </c>
      <c r="L55" s="1">
        <v>131.831036802021</v>
      </c>
      <c r="M55" s="1">
        <v>132.12723704982901</v>
      </c>
      <c r="N55" s="1">
        <v>120.805270371557</v>
      </c>
      <c r="O55" s="1">
        <v>131.810941251674</v>
      </c>
      <c r="P55" s="1">
        <v>130.38001851904099</v>
      </c>
      <c r="Q55" s="1">
        <v>133.22457368315801</v>
      </c>
      <c r="R55" s="1">
        <v>123.528945850759</v>
      </c>
      <c r="S55" s="1">
        <v>144.46036487614199</v>
      </c>
      <c r="T55" s="1">
        <v>127.843356756516</v>
      </c>
      <c r="U55" s="1">
        <v>120.85223759108</v>
      </c>
      <c r="V55" s="1">
        <v>126.24325485369501</v>
      </c>
      <c r="W55" s="1">
        <v>140.107994051774</v>
      </c>
      <c r="X55" s="1">
        <v>147.30271051161799</v>
      </c>
      <c r="Y55" s="1">
        <v>132.97517395736</v>
      </c>
      <c r="Z55" s="1">
        <v>136.735883247473</v>
      </c>
      <c r="AA55" s="1">
        <v>138.97723865948399</v>
      </c>
      <c r="AB55" s="1">
        <v>124.80718390816899</v>
      </c>
      <c r="AC55" s="1">
        <v>131.31133600487101</v>
      </c>
      <c r="AD55" s="1">
        <f>AVERAGE(C55:AC55)</f>
        <v>130.33252038083018</v>
      </c>
      <c r="AE55" s="1">
        <f>_xlfn.STDEV.P(C55:AC55)</f>
        <v>7.7327274104911066</v>
      </c>
      <c r="AF55" s="1">
        <f>AE55/AD55</f>
        <v>5.9330759413661019E-2</v>
      </c>
    </row>
    <row r="56" spans="1:32" ht="15" x14ac:dyDescent="0.15">
      <c r="A56" t="s">
        <v>5</v>
      </c>
      <c r="B56" s="4">
        <v>43665.628472222219</v>
      </c>
      <c r="C56" s="1">
        <v>133.76646441534601</v>
      </c>
      <c r="D56" s="1">
        <v>149.753869374793</v>
      </c>
      <c r="E56" s="1">
        <v>164.77557026665599</v>
      </c>
      <c r="F56" s="1">
        <v>151.868157576426</v>
      </c>
      <c r="G56" s="1">
        <v>134.7042339898</v>
      </c>
      <c r="H56" s="1">
        <v>140.717531991198</v>
      </c>
      <c r="I56" s="1">
        <v>132.06625928120101</v>
      </c>
      <c r="J56" s="1">
        <v>134.19710837154301</v>
      </c>
      <c r="K56" s="1">
        <v>127.874617830807</v>
      </c>
      <c r="L56" s="1">
        <v>139.45176570334499</v>
      </c>
      <c r="M56" s="1">
        <v>127.567748994645</v>
      </c>
      <c r="N56" s="1">
        <v>131.447231048936</v>
      </c>
      <c r="O56" s="1">
        <v>124.34819620573199</v>
      </c>
      <c r="P56" s="1">
        <v>132.31331547444199</v>
      </c>
      <c r="Q56" s="1">
        <v>140.92614850548699</v>
      </c>
      <c r="R56" s="1">
        <v>134.37256853421999</v>
      </c>
      <c r="S56" s="1">
        <v>167.74278503662501</v>
      </c>
      <c r="T56" s="1">
        <v>148.711904925525</v>
      </c>
      <c r="U56" s="1">
        <v>130.00237828056001</v>
      </c>
      <c r="V56" s="1">
        <v>138.931247513888</v>
      </c>
      <c r="W56" s="1">
        <v>145.739041372054</v>
      </c>
      <c r="X56" s="1">
        <v>160.884698226833</v>
      </c>
      <c r="Y56" s="1">
        <v>136.09602971033701</v>
      </c>
      <c r="Z56" s="1">
        <v>149.06698275181199</v>
      </c>
      <c r="AA56" s="1">
        <v>140.17442997053701</v>
      </c>
      <c r="AB56" s="1">
        <v>136.87527247571401</v>
      </c>
      <c r="AC56" s="1">
        <v>148.80237666272299</v>
      </c>
      <c r="AD56" s="1">
        <f>AVERAGE(C56:AC56)</f>
        <v>140.85844201819205</v>
      </c>
      <c r="AE56" s="1">
        <f>_xlfn.STDEV.P(C56:AC56)</f>
        <v>11.065583083158234</v>
      </c>
      <c r="AF56" s="1">
        <f>AE56/AD56</f>
        <v>7.8558181707909985E-2</v>
      </c>
    </row>
    <row r="57" spans="1:32" ht="15" x14ac:dyDescent="0.15">
      <c r="A57" t="s">
        <v>5</v>
      </c>
      <c r="B57" s="4">
        <v>43683.684027777781</v>
      </c>
      <c r="C57" s="1">
        <v>233.92906915988499</v>
      </c>
      <c r="D57" s="1">
        <v>262.78030876456398</v>
      </c>
      <c r="E57" s="1">
        <v>253.29194443322601</v>
      </c>
      <c r="F57" s="1">
        <v>241.37769801642199</v>
      </c>
      <c r="G57" s="1">
        <v>270.11141913009698</v>
      </c>
      <c r="H57" s="1">
        <v>266.68425780937997</v>
      </c>
      <c r="I57" s="1">
        <v>232.50823459824099</v>
      </c>
      <c r="J57" s="1">
        <v>251.00810377200301</v>
      </c>
      <c r="K57" s="1">
        <v>281.94461096139202</v>
      </c>
      <c r="L57" s="1">
        <v>263.54921033347398</v>
      </c>
      <c r="M57" s="1">
        <v>251.90550245920301</v>
      </c>
      <c r="N57" s="1">
        <v>242.776487810064</v>
      </c>
      <c r="O57" s="1">
        <v>243.457100456391</v>
      </c>
      <c r="P57" s="1">
        <v>249.32723469634101</v>
      </c>
      <c r="Q57" s="1">
        <v>233.33378461195099</v>
      </c>
      <c r="R57" s="1">
        <v>240.73732922855999</v>
      </c>
      <c r="S57" s="1">
        <v>258.76521369056502</v>
      </c>
      <c r="T57" s="1">
        <v>221.12106709887601</v>
      </c>
      <c r="U57" s="1">
        <v>261.53117201964102</v>
      </c>
      <c r="V57" s="1">
        <v>259.81922981514401</v>
      </c>
      <c r="W57" s="1">
        <v>239.963307824423</v>
      </c>
      <c r="X57" s="1">
        <v>253.37929542638099</v>
      </c>
      <c r="Y57" s="1">
        <v>254.66862515335501</v>
      </c>
      <c r="Z57" s="1">
        <v>235.02278848955299</v>
      </c>
      <c r="AA57" s="1">
        <v>260.59702565991699</v>
      </c>
      <c r="AB57" s="1">
        <v>267.30020568375397</v>
      </c>
      <c r="AC57" s="1">
        <v>257.80591427699102</v>
      </c>
      <c r="AD57" s="1">
        <f>AVERAGE(C57:AC57)</f>
        <v>251.43319042147382</v>
      </c>
      <c r="AE57" s="1">
        <f>_xlfn.STDEV.P(C57:AC57)</f>
        <v>13.715113694538454</v>
      </c>
      <c r="AF57" s="1">
        <f>AE57/AD57</f>
        <v>5.4547745552399059E-2</v>
      </c>
    </row>
    <row r="58" spans="1:32" ht="15" x14ac:dyDescent="0.15">
      <c r="A58" t="s">
        <v>5</v>
      </c>
      <c r="B58" s="4">
        <v>43693.038194444445</v>
      </c>
      <c r="C58" s="1">
        <v>141.06747495662199</v>
      </c>
      <c r="D58" s="1">
        <v>132.20968102686501</v>
      </c>
      <c r="E58" s="1">
        <v>137.72391316352901</v>
      </c>
      <c r="F58" s="1">
        <v>130.594645622988</v>
      </c>
      <c r="G58" s="1">
        <v>130.41095539556801</v>
      </c>
      <c r="H58" s="1">
        <v>126.635709187942</v>
      </c>
      <c r="I58" s="1">
        <v>135.441598109278</v>
      </c>
      <c r="J58" s="1">
        <v>140.79342942548499</v>
      </c>
      <c r="K58" s="1">
        <v>111.608019911762</v>
      </c>
      <c r="L58" s="1">
        <v>148.63426682968799</v>
      </c>
      <c r="M58" s="1">
        <v>139.08490031827799</v>
      </c>
      <c r="N58" s="1">
        <v>127.13348453227999</v>
      </c>
      <c r="O58" s="1">
        <v>135.783274417</v>
      </c>
      <c r="P58" s="1">
        <v>130.46631342088099</v>
      </c>
      <c r="Q58" s="1">
        <v>148.21565425593701</v>
      </c>
      <c r="R58" s="1">
        <v>130.61489407945501</v>
      </c>
      <c r="S58" s="1">
        <v>151.143700370343</v>
      </c>
      <c r="T58" s="1">
        <v>141.16684701496101</v>
      </c>
      <c r="U58" s="1">
        <v>124.74173761562599</v>
      </c>
      <c r="V58" s="1">
        <v>127.726406863346</v>
      </c>
      <c r="W58" s="1">
        <v>145.96356351076901</v>
      </c>
      <c r="X58" s="1">
        <v>154.998568117351</v>
      </c>
      <c r="Y58" s="1">
        <v>130.75602654942301</v>
      </c>
      <c r="Z58" s="1">
        <v>146.130699803493</v>
      </c>
      <c r="AA58" s="1">
        <v>149.79135235962599</v>
      </c>
      <c r="AB58" s="1">
        <v>136.64675965599099</v>
      </c>
      <c r="AC58" s="1">
        <v>131.958855785423</v>
      </c>
      <c r="AD58" s="1">
        <f>AVERAGE(C58:AC58)</f>
        <v>136.57195304814479</v>
      </c>
      <c r="AE58" s="1">
        <f>_xlfn.STDEV.P(C58:AC58)</f>
        <v>9.6335877665313436</v>
      </c>
      <c r="AF58" s="1">
        <f>AE58/AD58</f>
        <v>7.0538551668330313E-2</v>
      </c>
    </row>
    <row r="59" spans="1:32" ht="15" x14ac:dyDescent="0.15">
      <c r="A59" t="s">
        <v>5</v>
      </c>
      <c r="B59" s="4">
        <v>43699.829861111109</v>
      </c>
      <c r="C59" s="1">
        <v>115.357386761109</v>
      </c>
      <c r="D59" s="1">
        <v>123.682260321824</v>
      </c>
      <c r="E59" s="1">
        <v>109.580956696841</v>
      </c>
      <c r="F59" s="1">
        <v>103.11484935069601</v>
      </c>
      <c r="G59" s="1">
        <v>102.60816838058101</v>
      </c>
      <c r="H59" s="1">
        <v>105.51390633921299</v>
      </c>
      <c r="I59" s="1">
        <v>103.028932058292</v>
      </c>
      <c r="J59" s="1">
        <v>117.253583505272</v>
      </c>
      <c r="K59" s="1">
        <v>96.605826147588701</v>
      </c>
      <c r="L59" s="1">
        <v>114.323014349377</v>
      </c>
      <c r="M59" s="1">
        <v>119.431615415667</v>
      </c>
      <c r="N59" s="1">
        <v>104.35505834288701</v>
      </c>
      <c r="O59" s="1">
        <v>105.725808077872</v>
      </c>
      <c r="P59" s="1">
        <v>95.767655293907396</v>
      </c>
      <c r="Q59" s="1">
        <v>104.55649308997</v>
      </c>
      <c r="R59" s="1">
        <v>104.06355569562101</v>
      </c>
      <c r="S59" s="1">
        <v>120.88218717858</v>
      </c>
      <c r="T59" s="1">
        <v>113.417388881184</v>
      </c>
      <c r="U59" s="1">
        <v>104.14252876814299</v>
      </c>
      <c r="V59" s="1">
        <v>107.779833910457</v>
      </c>
      <c r="W59" s="1">
        <v>120.201951437551</v>
      </c>
      <c r="X59" s="1">
        <v>119.12211196557401</v>
      </c>
      <c r="Y59" s="1">
        <v>111.81919643254</v>
      </c>
      <c r="Z59" s="1">
        <v>114.993484279304</v>
      </c>
      <c r="AA59" s="1">
        <v>114.601919591046</v>
      </c>
      <c r="AB59" s="1">
        <v>109.54264964498</v>
      </c>
      <c r="AC59" s="1">
        <v>116.00647916582599</v>
      </c>
      <c r="AD59" s="1">
        <f>AVERAGE(C59:AC59)</f>
        <v>110.27699263266307</v>
      </c>
      <c r="AE59" s="1">
        <f>_xlfn.STDEV.P(C59:AC59)</f>
        <v>7.4145642147442663</v>
      </c>
      <c r="AF59" s="1">
        <f>AE59/AD59</f>
        <v>6.7235821704373699E-2</v>
      </c>
    </row>
    <row r="60" spans="1:32" ht="15" x14ac:dyDescent="0.15">
      <c r="A60" t="s">
        <v>5</v>
      </c>
      <c r="B60" s="4">
        <v>43707.607638888891</v>
      </c>
      <c r="C60" s="1">
        <v>193.28502780006701</v>
      </c>
      <c r="D60" s="1">
        <v>189.32238067637601</v>
      </c>
      <c r="E60" s="1">
        <v>225.014733101291</v>
      </c>
      <c r="F60" s="1">
        <v>229.73494375213599</v>
      </c>
      <c r="G60" s="1">
        <v>196.86176633540799</v>
      </c>
      <c r="H60" s="1">
        <v>179.46507818212899</v>
      </c>
      <c r="I60" s="1">
        <v>204.74464349233401</v>
      </c>
      <c r="J60" s="1">
        <v>192.13616807024101</v>
      </c>
      <c r="K60" s="1">
        <v>129.23446890106499</v>
      </c>
      <c r="L60" s="1">
        <v>172.558498850983</v>
      </c>
      <c r="M60" s="1">
        <v>205.60726311284699</v>
      </c>
      <c r="N60" s="1">
        <v>169.50318825823501</v>
      </c>
      <c r="O60" s="1">
        <v>159.29704800900799</v>
      </c>
      <c r="P60" s="1">
        <v>173.511675796042</v>
      </c>
      <c r="Q60" s="1">
        <v>214.50942416392601</v>
      </c>
      <c r="R60" s="1">
        <v>177.99430929929801</v>
      </c>
      <c r="S60" s="1">
        <v>186.73443188893799</v>
      </c>
      <c r="T60" s="1">
        <v>149.81450263815299</v>
      </c>
      <c r="U60" s="1">
        <v>173.34553309057799</v>
      </c>
      <c r="V60" s="1">
        <v>166.24899799092</v>
      </c>
      <c r="W60" s="1">
        <v>212.75609450689899</v>
      </c>
      <c r="X60" s="1">
        <v>184.898760198958</v>
      </c>
      <c r="Y60" s="1">
        <v>195.19219980445399</v>
      </c>
      <c r="Z60" s="1">
        <v>185.21062711811999</v>
      </c>
      <c r="AA60" s="1">
        <v>149.732785135971</v>
      </c>
      <c r="AB60" s="1">
        <v>145.68339900002999</v>
      </c>
      <c r="AC60" s="1">
        <v>189.97364764032599</v>
      </c>
      <c r="AD60" s="1">
        <f>AVERAGE(C60:AC60)</f>
        <v>183.4211702523975</v>
      </c>
      <c r="AE60" s="1">
        <f>_xlfn.STDEV.P(C60:AC60)</f>
        <v>23.799729746023921</v>
      </c>
      <c r="AF60" s="1">
        <f>AE60/AD60</f>
        <v>0.12975454094679584</v>
      </c>
    </row>
    <row r="61" spans="1:32" ht="15" x14ac:dyDescent="0.15">
      <c r="A61" t="s">
        <v>5</v>
      </c>
      <c r="B61" s="4">
        <v>43726.791666666664</v>
      </c>
      <c r="C61" s="1">
        <v>36.2502274593094</v>
      </c>
      <c r="D61" s="1">
        <v>39.486133051447801</v>
      </c>
      <c r="E61" s="1">
        <v>32.1369424675704</v>
      </c>
      <c r="F61" s="1">
        <v>48.360309793325001</v>
      </c>
      <c r="G61" s="1">
        <v>31.6080875464936</v>
      </c>
      <c r="H61" s="1">
        <v>31.156015993874401</v>
      </c>
      <c r="I61" s="1">
        <v>33.080802423077003</v>
      </c>
      <c r="J61" s="1">
        <v>37.909648894032898</v>
      </c>
      <c r="K61" s="1">
        <v>33.4189299819148</v>
      </c>
      <c r="L61" s="1">
        <v>33.341627420085899</v>
      </c>
      <c r="M61" s="1">
        <v>31.4604297099837</v>
      </c>
      <c r="N61" s="1">
        <v>34.0097331593063</v>
      </c>
      <c r="O61" s="1">
        <v>35.471331844306803</v>
      </c>
      <c r="P61" s="1">
        <v>39.489964502066101</v>
      </c>
      <c r="Q61" s="1">
        <v>35.621357401997898</v>
      </c>
      <c r="R61" s="1">
        <v>38.839695415796498</v>
      </c>
      <c r="S61" s="1">
        <v>33.548751818364003</v>
      </c>
      <c r="T61" s="1">
        <v>35.838876032582299</v>
      </c>
      <c r="U61" s="1">
        <v>35.022694689237497</v>
      </c>
      <c r="V61" s="1">
        <v>32.864729263193603</v>
      </c>
      <c r="W61" s="1">
        <v>33.4457688695069</v>
      </c>
      <c r="X61" s="1">
        <v>33.281277639073203</v>
      </c>
      <c r="Y61" s="1">
        <v>32.655435918772199</v>
      </c>
      <c r="Z61" s="1">
        <v>35.281320347485497</v>
      </c>
      <c r="AA61" s="1">
        <v>37.331373633617503</v>
      </c>
      <c r="AB61" s="1">
        <v>31.349494294268201</v>
      </c>
      <c r="AC61" s="1">
        <v>30.7751813115682</v>
      </c>
      <c r="AD61" s="1">
        <f>AVERAGE(C61:AC61)</f>
        <v>34.927264477120659</v>
      </c>
      <c r="AE61" s="1">
        <f>_xlfn.STDEV.P(C61:AC61)</f>
        <v>3.6304666661195677</v>
      </c>
      <c r="AF61" s="1">
        <f>AE61/AD61</f>
        <v>0.10394363029769278</v>
      </c>
    </row>
    <row r="62" spans="1:32" ht="15" x14ac:dyDescent="0.15">
      <c r="A62" t="s">
        <v>5</v>
      </c>
      <c r="B62" s="4">
        <v>43738.246527777781</v>
      </c>
      <c r="C62" s="1">
        <v>135.38884787802701</v>
      </c>
      <c r="D62" s="1">
        <v>120.964659598463</v>
      </c>
      <c r="E62" s="1">
        <v>129.09958141284099</v>
      </c>
      <c r="F62" s="1">
        <v>122.60666300683801</v>
      </c>
      <c r="G62" s="1">
        <v>114.14496600896599</v>
      </c>
      <c r="H62" s="1">
        <v>121.767842656044</v>
      </c>
      <c r="I62" s="1">
        <v>125.20653680845599</v>
      </c>
      <c r="J62" s="1">
        <v>124.685488612253</v>
      </c>
      <c r="K62" s="1">
        <v>112.56817581488301</v>
      </c>
      <c r="L62" s="1">
        <v>137.20587312080099</v>
      </c>
      <c r="M62" s="1">
        <v>124.60458858535</v>
      </c>
      <c r="N62" s="1">
        <v>111.725414265347</v>
      </c>
      <c r="O62" s="1">
        <v>128.312030263878</v>
      </c>
      <c r="P62" s="1">
        <v>119.08777386534599</v>
      </c>
      <c r="Q62" s="1">
        <v>135.256671120324</v>
      </c>
      <c r="R62" s="1">
        <v>113.332183261049</v>
      </c>
      <c r="S62" s="1">
        <v>148.41429355019</v>
      </c>
      <c r="T62" s="1">
        <v>136.17411298545599</v>
      </c>
      <c r="U62" s="1">
        <v>111.734568326168</v>
      </c>
      <c r="V62" s="1">
        <v>116.939869544457</v>
      </c>
      <c r="W62" s="1">
        <v>134.39864386426899</v>
      </c>
      <c r="X62" s="1">
        <v>146.72476383429901</v>
      </c>
      <c r="Y62" s="1">
        <v>123.60411050472899</v>
      </c>
      <c r="Z62" s="1">
        <v>136.155078339238</v>
      </c>
      <c r="AA62" s="1">
        <v>138.19333693868799</v>
      </c>
      <c r="AB62" s="1">
        <v>131.85050284023001</v>
      </c>
      <c r="AC62" s="1">
        <v>128.318486651559</v>
      </c>
      <c r="AD62" s="1">
        <f>AVERAGE(C62:AC62)</f>
        <v>126.9801875428944</v>
      </c>
      <c r="AE62" s="1">
        <f>_xlfn.STDEV.P(C62:AC62)</f>
        <v>10.127299418401755</v>
      </c>
      <c r="AF62" s="1">
        <f>AE62/AD62</f>
        <v>7.9754957165902071E-2</v>
      </c>
    </row>
    <row r="63" spans="1:32" ht="15" x14ac:dyDescent="0.15">
      <c r="A63" t="s">
        <v>6</v>
      </c>
      <c r="B63" s="4">
        <v>43267.770833333336</v>
      </c>
      <c r="C63" s="1">
        <v>122.70279268551501</v>
      </c>
      <c r="D63" s="1">
        <v>118.938287471289</v>
      </c>
      <c r="E63" s="1">
        <v>114.384980643484</v>
      </c>
      <c r="F63" s="1">
        <v>130.73878594335</v>
      </c>
      <c r="G63" s="1">
        <v>116.358703398879</v>
      </c>
      <c r="H63" s="1">
        <v>117.92639732793501</v>
      </c>
      <c r="I63" s="1">
        <v>106.42599333388701</v>
      </c>
      <c r="J63" s="1">
        <v>117.51751360306</v>
      </c>
      <c r="K63" s="1">
        <v>103.267795394792</v>
      </c>
      <c r="L63" s="1">
        <v>122.60531504521001</v>
      </c>
      <c r="M63" s="1">
        <v>123.819660302511</v>
      </c>
      <c r="N63" s="1">
        <v>109.163522632333</v>
      </c>
      <c r="O63" s="1">
        <v>126.97268971533499</v>
      </c>
      <c r="P63" s="1">
        <v>118.35629491605</v>
      </c>
      <c r="Q63" s="1">
        <v>120.57366825615701</v>
      </c>
      <c r="R63" s="1">
        <v>107.817303356317</v>
      </c>
      <c r="S63" s="1">
        <v>134.07932736088</v>
      </c>
      <c r="T63" s="1">
        <v>110.887407858865</v>
      </c>
      <c r="U63" s="1">
        <v>109.530446560388</v>
      </c>
      <c r="V63" s="1">
        <v>113.384199583821</v>
      </c>
      <c r="W63" s="1">
        <v>127.28920528472401</v>
      </c>
      <c r="X63" s="1">
        <v>130.249680761223</v>
      </c>
      <c r="Y63" s="1">
        <v>119.753999725767</v>
      </c>
      <c r="Z63" s="1">
        <v>125.53905344366299</v>
      </c>
      <c r="AA63" s="1">
        <v>120.78115771494301</v>
      </c>
      <c r="AB63" s="1">
        <v>121.596620624686</v>
      </c>
      <c r="AC63" s="1">
        <v>131.923920486925</v>
      </c>
      <c r="AD63" s="1">
        <f>AVERAGE(C63:AC63)</f>
        <v>119.35498975674034</v>
      </c>
      <c r="AE63" s="1">
        <f>_xlfn.STDEV.P(C63:AC63)</f>
        <v>8.0272263731349369</v>
      </c>
      <c r="AF63" s="1">
        <f>AE63/AD63</f>
        <v>6.7255054769770242E-2</v>
      </c>
    </row>
    <row r="64" spans="1:32" ht="15" x14ac:dyDescent="0.15">
      <c r="A64" t="s">
        <v>6</v>
      </c>
      <c r="B64" s="4">
        <v>43274.204861111109</v>
      </c>
      <c r="C64" s="1">
        <v>101.507709754568</v>
      </c>
      <c r="D64" s="1">
        <v>131.891479784788</v>
      </c>
      <c r="E64" s="1">
        <v>99.195001100364394</v>
      </c>
      <c r="F64" s="1">
        <v>96.786189092665097</v>
      </c>
      <c r="G64" s="1">
        <v>118.20473597264299</v>
      </c>
      <c r="H64" s="1">
        <v>96.239631905768107</v>
      </c>
      <c r="I64" s="1">
        <v>105.88648599278299</v>
      </c>
      <c r="J64" s="1">
        <v>135.28531961834</v>
      </c>
      <c r="K64" s="1">
        <v>136.41026381915501</v>
      </c>
      <c r="L64" s="1">
        <v>108.793040637828</v>
      </c>
      <c r="M64" s="1">
        <v>115.012725056617</v>
      </c>
      <c r="N64" s="1">
        <v>145.080523448148</v>
      </c>
      <c r="O64" s="1">
        <v>110.85079325550601</v>
      </c>
      <c r="P64" s="1">
        <v>121.822868734371</v>
      </c>
      <c r="Q64" s="1">
        <v>115.569845002891</v>
      </c>
      <c r="R64" s="1">
        <v>121.903163493981</v>
      </c>
      <c r="S64" s="1">
        <v>107.389861089295</v>
      </c>
      <c r="T64" s="1">
        <v>105.02706464162399</v>
      </c>
      <c r="U64" s="1">
        <v>120.010169447441</v>
      </c>
      <c r="V64" s="1">
        <v>119.023165817501</v>
      </c>
      <c r="W64" s="1">
        <v>110.999035078109</v>
      </c>
      <c r="X64" s="1">
        <v>114.915682171079</v>
      </c>
      <c r="Y64" s="1">
        <v>138.43716109023501</v>
      </c>
      <c r="Z64" s="1">
        <v>122.64983839896099</v>
      </c>
      <c r="AA64" s="1">
        <v>105.854482125248</v>
      </c>
      <c r="AB64" s="1">
        <v>136.702934562276</v>
      </c>
      <c r="AC64" s="1">
        <v>112.964762772342</v>
      </c>
      <c r="AD64" s="1">
        <f>AVERAGE(C64:AC64)</f>
        <v>116.83014569868621</v>
      </c>
      <c r="AE64" s="1">
        <f>_xlfn.STDEV.P(C64:AC64)</f>
        <v>13.207810042060768</v>
      </c>
      <c r="AF64" s="1">
        <f>AE64/AD64</f>
        <v>0.113051387234633</v>
      </c>
    </row>
    <row r="65" spans="1:32" ht="15" x14ac:dyDescent="0.15">
      <c r="A65" t="s">
        <v>6</v>
      </c>
      <c r="B65" s="4">
        <v>43338.875</v>
      </c>
      <c r="C65" s="1">
        <v>110.06253760087</v>
      </c>
      <c r="D65" s="1">
        <v>87.533279447431198</v>
      </c>
      <c r="E65" s="1">
        <v>91.272406703682293</v>
      </c>
      <c r="F65" s="1">
        <v>122.908354926576</v>
      </c>
      <c r="G65" s="1">
        <v>97.903529372050201</v>
      </c>
      <c r="H65" s="1">
        <v>118.746928251112</v>
      </c>
      <c r="I65" s="1">
        <v>108.42113286346201</v>
      </c>
      <c r="J65" s="1">
        <v>110.668880098882</v>
      </c>
      <c r="K65" s="1">
        <v>106.62207144622199</v>
      </c>
      <c r="L65" s="1">
        <v>101.985356583122</v>
      </c>
      <c r="M65" s="1">
        <v>95.453775010127501</v>
      </c>
      <c r="N65" s="1">
        <v>89.614253645579893</v>
      </c>
      <c r="O65" s="1">
        <v>108.400917596401</v>
      </c>
      <c r="P65" s="1">
        <v>105.361080353237</v>
      </c>
      <c r="Q65" s="1">
        <v>101.460487592494</v>
      </c>
      <c r="R65" s="1">
        <v>88.113456754830594</v>
      </c>
      <c r="S65" s="1">
        <v>106.75282915259599</v>
      </c>
      <c r="T65" s="1">
        <v>102.50079241387</v>
      </c>
      <c r="U65" s="1">
        <v>102.26889143958699</v>
      </c>
      <c r="V65" s="1">
        <v>104.410380075877</v>
      </c>
      <c r="W65" s="1">
        <v>102.650941779216</v>
      </c>
      <c r="X65" s="1">
        <v>99.622444256587599</v>
      </c>
      <c r="Y65" s="1">
        <v>104.829739879005</v>
      </c>
      <c r="Z65" s="1">
        <v>111.117060062411</v>
      </c>
      <c r="AA65" s="1">
        <v>115.21545915132801</v>
      </c>
      <c r="AB65" s="1">
        <v>111.558617571094</v>
      </c>
      <c r="AC65" s="1">
        <v>105.66422346671</v>
      </c>
      <c r="AD65" s="1">
        <f>AVERAGE(C65:AC65)</f>
        <v>104.11554916645782</v>
      </c>
      <c r="AE65" s="1">
        <f>_xlfn.STDEV.P(C65:AC65)</f>
        <v>8.5801253247207843</v>
      </c>
      <c r="AF65" s="1">
        <f>AE65/AD65</f>
        <v>8.2409643837185687E-2</v>
      </c>
    </row>
    <row r="66" spans="1:32" ht="15" x14ac:dyDescent="0.15">
      <c r="A66" t="s">
        <v>6</v>
      </c>
      <c r="B66" s="4">
        <v>43624.600694444445</v>
      </c>
      <c r="C66" s="1">
        <v>184.24050362419999</v>
      </c>
      <c r="D66" s="1">
        <v>173.70475688546799</v>
      </c>
      <c r="E66" s="1">
        <v>206.39679733646599</v>
      </c>
      <c r="F66" s="1">
        <v>201.85133910396701</v>
      </c>
      <c r="G66" s="1">
        <v>195.90107164333301</v>
      </c>
      <c r="H66" s="1">
        <v>200.904852568481</v>
      </c>
      <c r="I66" s="1">
        <v>165.41544580150901</v>
      </c>
      <c r="J66" s="1">
        <v>176.51389719602199</v>
      </c>
      <c r="K66" s="1">
        <v>223.63765537896799</v>
      </c>
      <c r="L66" s="1">
        <v>181.11908951365001</v>
      </c>
      <c r="M66" s="1">
        <v>181.51787120089401</v>
      </c>
      <c r="N66" s="1">
        <v>190.443542805443</v>
      </c>
      <c r="O66" s="1">
        <v>193.43561027850399</v>
      </c>
      <c r="P66" s="1">
        <v>201.14568602995399</v>
      </c>
      <c r="Q66" s="1">
        <v>179.315687905761</v>
      </c>
      <c r="R66" s="1">
        <v>205.52869240267799</v>
      </c>
      <c r="S66" s="1">
        <v>200.26567779143801</v>
      </c>
      <c r="T66" s="1">
        <v>187.71444473765499</v>
      </c>
      <c r="U66" s="1">
        <v>187.322433123005</v>
      </c>
      <c r="V66" s="1">
        <v>197.215954504357</v>
      </c>
      <c r="W66" s="1">
        <v>187.76861264379599</v>
      </c>
      <c r="X66" s="1">
        <v>198.36585270513899</v>
      </c>
      <c r="Y66" s="1">
        <v>195.03049479960799</v>
      </c>
      <c r="Z66" s="1">
        <v>190.20621623512599</v>
      </c>
      <c r="AA66" s="1">
        <v>185.33665008755099</v>
      </c>
      <c r="AB66" s="1">
        <v>196.130087214002</v>
      </c>
      <c r="AC66" s="1">
        <v>196.83858650647201</v>
      </c>
      <c r="AD66" s="1">
        <f>AVERAGE(C66:AC66)</f>
        <v>191.97287074160917</v>
      </c>
      <c r="AE66" s="1">
        <f>_xlfn.STDEV.P(C66:AC66)</f>
        <v>11.695240091994192</v>
      </c>
      <c r="AF66" s="1">
        <f>AE66/AD66</f>
        <v>6.0921316886153674E-2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6"/>
  <sheetViews>
    <sheetView workbookViewId="0">
      <selection activeCell="AJ25" sqref="AJ25"/>
    </sheetView>
  </sheetViews>
  <sheetFormatPr defaultColWidth="9" defaultRowHeight="13.5" x14ac:dyDescent="0.15"/>
  <cols>
    <col min="2" max="2" width="17.25" style="6" bestFit="1" customWidth="1"/>
  </cols>
  <sheetData>
    <row r="1" spans="1:32" x14ac:dyDescent="0.15">
      <c r="A1" s="1"/>
      <c r="B1" s="3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/>
      <c r="AE1" s="1"/>
      <c r="AF1" s="2" t="s">
        <v>2</v>
      </c>
    </row>
    <row r="2" spans="1:32" ht="15" x14ac:dyDescent="0.15">
      <c r="A2" t="s">
        <v>3</v>
      </c>
      <c r="B2" s="4">
        <v>43274.208333333336</v>
      </c>
      <c r="C2" s="1">
        <v>1.0346386474351801</v>
      </c>
      <c r="D2" s="1">
        <v>1.0371185244754</v>
      </c>
      <c r="E2" s="1">
        <v>1.0666963846245501</v>
      </c>
      <c r="F2" s="1">
        <v>1.0278747823486201</v>
      </c>
      <c r="G2" s="1">
        <v>0.98367295281078304</v>
      </c>
      <c r="H2" s="1">
        <v>1.0938707550589499</v>
      </c>
      <c r="I2" s="1">
        <v>1.0179377444256199</v>
      </c>
      <c r="J2" s="1">
        <v>1.03837968096656</v>
      </c>
      <c r="K2" s="1">
        <v>1.0189403593830899</v>
      </c>
      <c r="L2" s="1">
        <v>0.98817914763288195</v>
      </c>
      <c r="M2" s="1">
        <v>0.94627598283025705</v>
      </c>
      <c r="N2" s="1">
        <v>1.0056589550514801</v>
      </c>
      <c r="O2" s="1">
        <v>0.96637514544335101</v>
      </c>
      <c r="P2" s="1">
        <v>1.09329521253247</v>
      </c>
      <c r="Q2" s="1">
        <v>1.1422913649545099</v>
      </c>
      <c r="R2" s="1">
        <v>1.04127446350635</v>
      </c>
      <c r="S2" s="1">
        <v>1.0568216494143099</v>
      </c>
      <c r="T2" s="1">
        <v>1.0528090196458799</v>
      </c>
      <c r="U2" s="1">
        <v>1.0227766322946099</v>
      </c>
      <c r="V2" s="1">
        <v>1.0443324778688701</v>
      </c>
      <c r="W2" s="1">
        <v>0.98821236007660695</v>
      </c>
      <c r="X2" s="1">
        <v>1.0138296581530699</v>
      </c>
      <c r="Y2" s="1">
        <v>1.09775721839686</v>
      </c>
      <c r="Z2" s="1">
        <v>1.02245217489306</v>
      </c>
      <c r="AA2" s="1">
        <v>1.11020217287053</v>
      </c>
      <c r="AB2" s="1">
        <v>1.0068837039870899</v>
      </c>
      <c r="AC2" s="1">
        <v>1.0157143691497601</v>
      </c>
      <c r="AD2" s="1">
        <f>AVERAGE(C2:AC2)</f>
        <v>1.0346026496381739</v>
      </c>
      <c r="AE2" s="1">
        <f>_xlfn.STDEV.P(C2:AC2)</f>
        <v>4.4255522077568207E-2</v>
      </c>
      <c r="AF2" s="1">
        <f>AE2/AD2</f>
        <v>4.277538057054605E-2</v>
      </c>
    </row>
    <row r="3" spans="1:32" ht="15" x14ac:dyDescent="0.15">
      <c r="A3" t="s">
        <v>3</v>
      </c>
      <c r="B3" s="4">
        <v>43294.954861111109</v>
      </c>
      <c r="C3" s="1">
        <v>1.6440673159977399</v>
      </c>
      <c r="D3" s="1">
        <v>1.5473304629072899</v>
      </c>
      <c r="E3" s="1">
        <v>1.48094314097006</v>
      </c>
      <c r="F3" s="1">
        <v>1.47247537900807</v>
      </c>
      <c r="G3" s="1">
        <v>1.4972124964947</v>
      </c>
      <c r="H3" s="1">
        <v>1.51878925278639</v>
      </c>
      <c r="I3" s="1">
        <v>1.4427344566539899</v>
      </c>
      <c r="J3" s="1">
        <v>1.5278963971397701</v>
      </c>
      <c r="K3" s="1">
        <v>1.4754600290353399</v>
      </c>
      <c r="L3" s="1">
        <v>1.52638025843375</v>
      </c>
      <c r="M3" s="1">
        <v>1.5404776307098</v>
      </c>
      <c r="N3" s="1">
        <v>1.46514658748948</v>
      </c>
      <c r="O3" s="1">
        <v>1.36482812978857</v>
      </c>
      <c r="P3" s="1">
        <v>1.3972615017444101</v>
      </c>
      <c r="Q3" s="1">
        <v>1.5041739259864999</v>
      </c>
      <c r="R3" s="1">
        <v>1.50326935955612</v>
      </c>
      <c r="S3" s="1">
        <v>1.5501861798448799</v>
      </c>
      <c r="T3" s="1">
        <v>1.4083083154160601</v>
      </c>
      <c r="U3" s="1">
        <v>1.4978408602069999</v>
      </c>
      <c r="V3" s="1">
        <v>1.4660291119389499</v>
      </c>
      <c r="W3" s="1">
        <v>1.47934845376262</v>
      </c>
      <c r="X3" s="1">
        <v>1.39605801543583</v>
      </c>
      <c r="Y3" s="1">
        <v>1.4514197644240101</v>
      </c>
      <c r="Z3" s="1">
        <v>1.4743719282766099</v>
      </c>
      <c r="AA3" s="1">
        <v>1.5332520334310999</v>
      </c>
      <c r="AB3" s="1">
        <v>1.4987387084469299</v>
      </c>
      <c r="AC3" s="1">
        <v>1.54609406147263</v>
      </c>
      <c r="AD3" s="1">
        <f>AVERAGE(C3:AC3)</f>
        <v>1.4892627317540219</v>
      </c>
      <c r="AE3" s="1">
        <f>_xlfn.STDEV.P(C3:AC3)</f>
        <v>5.7087286065737361E-2</v>
      </c>
      <c r="AF3" s="1">
        <f>AE3/AD3</f>
        <v>3.8332582188839961E-2</v>
      </c>
    </row>
    <row r="4" spans="1:32" ht="15" x14ac:dyDescent="0.15">
      <c r="A4" t="s">
        <v>3</v>
      </c>
      <c r="B4" s="4">
        <v>43299.520833333336</v>
      </c>
      <c r="C4" s="1">
        <v>1.5453778211665301</v>
      </c>
      <c r="D4" s="1">
        <v>1.4415656347289301</v>
      </c>
      <c r="E4" s="1">
        <v>1.55984595769601</v>
      </c>
      <c r="F4" s="1">
        <v>1.4387264143424801</v>
      </c>
      <c r="G4" s="1">
        <v>1.58902843039019</v>
      </c>
      <c r="H4" s="1">
        <v>1.4884633776484499</v>
      </c>
      <c r="I4" s="1">
        <v>1.4223530779481499</v>
      </c>
      <c r="J4" s="1">
        <v>1.55205643541432</v>
      </c>
      <c r="K4" s="1">
        <v>1.45285363200734</v>
      </c>
      <c r="L4" s="1">
        <v>1.5105039178819899</v>
      </c>
      <c r="M4" s="1">
        <v>1.52005457761985</v>
      </c>
      <c r="N4" s="1">
        <v>1.4670861509895701</v>
      </c>
      <c r="O4" s="1">
        <v>1.37332661752091</v>
      </c>
      <c r="P4" s="1">
        <v>1.35834477614059</v>
      </c>
      <c r="Q4" s="1">
        <v>1.42077021844832</v>
      </c>
      <c r="R4" s="1">
        <v>1.5179949736521801</v>
      </c>
      <c r="S4" s="1">
        <v>1.57273376820358</v>
      </c>
      <c r="T4" s="1">
        <v>1.4429482842544701</v>
      </c>
      <c r="U4" s="1">
        <v>1.5165725110652699</v>
      </c>
      <c r="V4" s="1">
        <v>1.48852800696576</v>
      </c>
      <c r="W4" s="1">
        <v>1.4729043702462601</v>
      </c>
      <c r="X4" s="1">
        <v>1.3844964278130001</v>
      </c>
      <c r="Y4" s="1">
        <v>1.4402374322902201</v>
      </c>
      <c r="Z4" s="1">
        <v>1.5048088844224501</v>
      </c>
      <c r="AA4" s="1">
        <v>1.55696247825975</v>
      </c>
      <c r="AB4" s="1">
        <v>1.65220943585682</v>
      </c>
      <c r="AC4" s="1">
        <v>1.4340485649843899</v>
      </c>
      <c r="AD4" s="1">
        <f>AVERAGE(C4:AC4)</f>
        <v>1.4861037843688065</v>
      </c>
      <c r="AE4" s="1">
        <f>_xlfn.STDEV.P(C4:AC4)</f>
        <v>6.8936207944300859E-2</v>
      </c>
      <c r="AF4" s="1">
        <f>AE4/AD4</f>
        <v>4.6387209742272582E-2</v>
      </c>
    </row>
    <row r="5" spans="1:32" ht="15" x14ac:dyDescent="0.15">
      <c r="A5" t="s">
        <v>3</v>
      </c>
      <c r="B5" s="4">
        <v>43304.659722222219</v>
      </c>
      <c r="C5" s="1">
        <v>1.2187732535764899</v>
      </c>
      <c r="D5" s="1">
        <v>1.23045202225016</v>
      </c>
      <c r="E5" s="1">
        <v>1.25629834294625</v>
      </c>
      <c r="F5" s="1">
        <v>1.30160891398775</v>
      </c>
      <c r="G5" s="1">
        <v>1.36968206231377</v>
      </c>
      <c r="H5" s="1">
        <v>1.2698699432551599</v>
      </c>
      <c r="I5" s="1">
        <v>1.28745184986592</v>
      </c>
      <c r="J5" s="1">
        <v>1.32701598195169</v>
      </c>
      <c r="K5" s="1">
        <v>1.2231717551194501</v>
      </c>
      <c r="L5" s="1">
        <v>1.16912117510717</v>
      </c>
      <c r="M5" s="1">
        <v>1.3181096140683499</v>
      </c>
      <c r="N5" s="1">
        <v>1.27072985466287</v>
      </c>
      <c r="O5" s="1">
        <v>1.2425991447357601</v>
      </c>
      <c r="P5" s="1">
        <v>1.32511972938879</v>
      </c>
      <c r="Q5" s="1">
        <v>1.27685430027737</v>
      </c>
      <c r="R5" s="1">
        <v>1.2553164517161099</v>
      </c>
      <c r="S5" s="1">
        <v>1.3111820748389</v>
      </c>
      <c r="T5" s="1">
        <v>1.32632078019736</v>
      </c>
      <c r="U5" s="1">
        <v>1.28369412883592</v>
      </c>
      <c r="V5" s="1">
        <v>1.2403002291829499</v>
      </c>
      <c r="W5" s="1">
        <v>1.2830737744849301</v>
      </c>
      <c r="X5" s="1">
        <v>1.1979192111899699</v>
      </c>
      <c r="Y5" s="1">
        <v>1.3220990256857399</v>
      </c>
      <c r="Z5" s="1">
        <v>1.2536969053371201</v>
      </c>
      <c r="AA5" s="1">
        <v>1.36155195826363</v>
      </c>
      <c r="AB5" s="1">
        <v>1.23542262439055</v>
      </c>
      <c r="AC5" s="1">
        <v>1.12896673112924</v>
      </c>
      <c r="AD5" s="1">
        <f>AVERAGE(C5:AC5)</f>
        <v>1.2698667347688652</v>
      </c>
      <c r="AE5" s="1">
        <f>_xlfn.STDEV.P(C5:AC5)</f>
        <v>5.4892012231216369E-2</v>
      </c>
      <c r="AF5" s="1">
        <f>AE5/AD5</f>
        <v>4.3226592781964272E-2</v>
      </c>
    </row>
    <row r="6" spans="1:32" ht="15" x14ac:dyDescent="0.15">
      <c r="A6" t="s">
        <v>3</v>
      </c>
      <c r="B6" s="4">
        <v>43306.802083333336</v>
      </c>
      <c r="C6" s="1">
        <v>1.5668757279255801</v>
      </c>
      <c r="D6" s="1">
        <v>1.4394071010635401</v>
      </c>
      <c r="E6" s="1">
        <v>1.52531959478138</v>
      </c>
      <c r="F6" s="1">
        <v>1.4934971302992399</v>
      </c>
      <c r="G6" s="1">
        <v>1.4646190957216401</v>
      </c>
      <c r="H6" s="1">
        <v>1.4913864935602801</v>
      </c>
      <c r="I6" s="1">
        <v>1.4409954641368901</v>
      </c>
      <c r="J6" s="1">
        <v>1.55615563067636</v>
      </c>
      <c r="K6" s="1">
        <v>1.4294576928587099</v>
      </c>
      <c r="L6" s="1">
        <v>1.4200959295687099</v>
      </c>
      <c r="M6" s="1">
        <v>1.55441281835934</v>
      </c>
      <c r="N6" s="1">
        <v>1.3752404463823</v>
      </c>
      <c r="O6" s="1">
        <v>1.3692893609427601</v>
      </c>
      <c r="P6" s="1">
        <v>1.3776879420580399</v>
      </c>
      <c r="Q6" s="1">
        <v>1.4479839233330001</v>
      </c>
      <c r="R6" s="1">
        <v>1.55218716789325</v>
      </c>
      <c r="S6" s="1">
        <v>1.51577192397031</v>
      </c>
      <c r="T6" s="1">
        <v>1.44194679827012</v>
      </c>
      <c r="U6" s="1">
        <v>1.4928925047130099</v>
      </c>
      <c r="V6" s="1">
        <v>1.5454616288896601</v>
      </c>
      <c r="W6" s="1">
        <v>1.35694288026316</v>
      </c>
      <c r="X6" s="1">
        <v>1.44644968050165</v>
      </c>
      <c r="Y6" s="1">
        <v>1.4522371561406799</v>
      </c>
      <c r="Z6" s="1">
        <v>1.4404453724652599</v>
      </c>
      <c r="AA6" s="1">
        <v>1.5034040235392301</v>
      </c>
      <c r="AB6" s="1">
        <v>1.62056060978589</v>
      </c>
      <c r="AC6" s="1">
        <v>1.4860374139769901</v>
      </c>
      <c r="AD6" s="1">
        <f>AVERAGE(C6:AC6)</f>
        <v>1.4743245004472956</v>
      </c>
      <c r="AE6" s="1">
        <f>_xlfn.STDEV.P(C6:AC6)</f>
        <v>6.5542992687864524E-2</v>
      </c>
      <c r="AF6" s="1">
        <f>AE6/AD6</f>
        <v>4.445628670484647E-2</v>
      </c>
    </row>
    <row r="7" spans="1:32" ht="15" x14ac:dyDescent="0.15">
      <c r="A7" t="s">
        <v>3</v>
      </c>
      <c r="B7" s="4">
        <v>43313.333333333336</v>
      </c>
      <c r="C7" s="1">
        <v>1.46533353702673</v>
      </c>
      <c r="D7" s="1">
        <v>1.4072221244519401</v>
      </c>
      <c r="E7" s="1">
        <v>1.4400033319699601</v>
      </c>
      <c r="F7" s="1">
        <v>1.3949120358085301</v>
      </c>
      <c r="G7" s="1">
        <v>1.3747746352038299</v>
      </c>
      <c r="H7" s="1">
        <v>1.38541960051732</v>
      </c>
      <c r="I7" s="1">
        <v>1.3382461336753699</v>
      </c>
      <c r="J7" s="1">
        <v>1.39172110306455</v>
      </c>
      <c r="K7" s="1">
        <v>1.29928830441455</v>
      </c>
      <c r="L7" s="1">
        <v>1.15693634610079</v>
      </c>
      <c r="M7" s="1">
        <v>1.3849071566835001</v>
      </c>
      <c r="N7" s="1">
        <v>1.39416683933946</v>
      </c>
      <c r="O7" s="1">
        <v>1.2546030865098401</v>
      </c>
      <c r="P7" s="1">
        <v>1.4358622040631299</v>
      </c>
      <c r="Q7" s="1">
        <v>1.3991280237624499</v>
      </c>
      <c r="R7" s="1">
        <v>1.37238465763818</v>
      </c>
      <c r="S7" s="1">
        <v>1.4547098224852499</v>
      </c>
      <c r="T7" s="1">
        <v>1.4168603579414201</v>
      </c>
      <c r="U7" s="1">
        <v>1.41976550829554</v>
      </c>
      <c r="V7" s="1">
        <v>1.39466761187125</v>
      </c>
      <c r="W7" s="1">
        <v>1.25368690465952</v>
      </c>
      <c r="X7" s="1">
        <v>1.3499133189476</v>
      </c>
      <c r="Y7" s="1">
        <v>1.4474062159474499</v>
      </c>
      <c r="Z7" s="1">
        <v>1.3341079636475499</v>
      </c>
      <c r="AA7" s="1">
        <v>1.4784840697916799</v>
      </c>
      <c r="AB7" s="1">
        <v>1.37300744212227</v>
      </c>
      <c r="AC7" s="1">
        <v>1.34247446428574</v>
      </c>
      <c r="AD7" s="1">
        <f>AVERAGE(C7:AC7)</f>
        <v>1.3762960296379776</v>
      </c>
      <c r="AE7" s="1">
        <f>_xlfn.STDEV.P(C7:AC7)</f>
        <v>7.0074241135963805E-2</v>
      </c>
      <c r="AF7" s="1">
        <f>AE7/AD7</f>
        <v>5.0915093575032842E-2</v>
      </c>
    </row>
    <row r="8" spans="1:32" ht="15" x14ac:dyDescent="0.15">
      <c r="A8" t="s">
        <v>3</v>
      </c>
      <c r="B8" s="4">
        <v>43315.666666666664</v>
      </c>
      <c r="C8" s="1">
        <v>1.41223350352531</v>
      </c>
      <c r="D8" s="1">
        <v>1.43795022172858</v>
      </c>
      <c r="E8" s="1">
        <v>1.3843329828162201</v>
      </c>
      <c r="F8" s="1">
        <v>1.41318944253701</v>
      </c>
      <c r="G8" s="1">
        <v>1.3973441839876499</v>
      </c>
      <c r="H8" s="1">
        <v>1.3690309373541101</v>
      </c>
      <c r="I8" s="1">
        <v>1.42162555242209</v>
      </c>
      <c r="J8" s="1">
        <v>1.4128041406106</v>
      </c>
      <c r="K8" s="1">
        <v>1.43980559508015</v>
      </c>
      <c r="L8" s="1">
        <v>1.21182893391682</v>
      </c>
      <c r="M8" s="1">
        <v>1.46384116417722</v>
      </c>
      <c r="N8" s="1">
        <v>1.3703000858877401</v>
      </c>
      <c r="O8" s="1">
        <v>1.36766929603202</v>
      </c>
      <c r="P8" s="1">
        <v>1.3557081634369299</v>
      </c>
      <c r="Q8" s="1">
        <v>1.47101051788679</v>
      </c>
      <c r="R8" s="1">
        <v>1.4012044821080201</v>
      </c>
      <c r="S8" s="1">
        <v>1.4061563108287201</v>
      </c>
      <c r="T8" s="1">
        <v>1.35405938713858</v>
      </c>
      <c r="U8" s="1">
        <v>1.4030797008107301</v>
      </c>
      <c r="V8" s="1">
        <v>1.3885342259360001</v>
      </c>
      <c r="W8" s="1">
        <v>1.2734829009697599</v>
      </c>
      <c r="X8" s="1">
        <v>1.3780563523835401</v>
      </c>
      <c r="Y8" s="1">
        <v>1.43747195206268</v>
      </c>
      <c r="Z8" s="1">
        <v>1.3829105643265101</v>
      </c>
      <c r="AA8" s="1">
        <v>1.50690837226733</v>
      </c>
      <c r="AB8" s="1">
        <v>1.3005153410397701</v>
      </c>
      <c r="AC8" s="1">
        <v>1.41472629934929</v>
      </c>
      <c r="AD8" s="1">
        <f>AVERAGE(C8:AC8)</f>
        <v>1.3916955781711176</v>
      </c>
      <c r="AE8" s="1">
        <f>_xlfn.STDEV.P(C8:AC8)</f>
        <v>5.8929894110017339E-2</v>
      </c>
      <c r="AF8" s="1">
        <f>AE8/AD8</f>
        <v>4.234395440665225E-2</v>
      </c>
    </row>
    <row r="9" spans="1:32" ht="15" x14ac:dyDescent="0.15">
      <c r="A9" t="s">
        <v>3</v>
      </c>
      <c r="B9" s="4">
        <v>43324.409722222219</v>
      </c>
      <c r="C9" s="1">
        <v>1.4623917728267599</v>
      </c>
      <c r="D9" s="1">
        <v>1.5174338147439299</v>
      </c>
      <c r="E9" s="1">
        <v>1.4946044988565399</v>
      </c>
      <c r="F9" s="1">
        <v>1.44277284519102</v>
      </c>
      <c r="G9" s="1">
        <v>1.46099682052818</v>
      </c>
      <c r="H9" s="1">
        <v>1.43586414896291</v>
      </c>
      <c r="I9" s="1">
        <v>1.4657650695019</v>
      </c>
      <c r="J9" s="1">
        <v>1.5100964280509399</v>
      </c>
      <c r="K9" s="1">
        <v>1.46770362272856</v>
      </c>
      <c r="L9" s="1">
        <v>1.32558852237516</v>
      </c>
      <c r="M9" s="1">
        <v>1.53314170019919</v>
      </c>
      <c r="N9" s="1">
        <v>1.5092364856548599</v>
      </c>
      <c r="O9" s="1">
        <v>1.4031321914463799</v>
      </c>
      <c r="P9" s="1">
        <v>1.5007069500972501</v>
      </c>
      <c r="Q9" s="1">
        <v>1.5012915005968099</v>
      </c>
      <c r="R9" s="1">
        <v>1.4505924625735001</v>
      </c>
      <c r="S9" s="1">
        <v>1.53263359033821</v>
      </c>
      <c r="T9" s="1">
        <v>1.4769716958055601</v>
      </c>
      <c r="U9" s="1">
        <v>1.42081302644595</v>
      </c>
      <c r="V9" s="1">
        <v>1.3865109012086601</v>
      </c>
      <c r="W9" s="1">
        <v>1.4010548540588399</v>
      </c>
      <c r="X9" s="1">
        <v>1.33881459454007</v>
      </c>
      <c r="Y9" s="1">
        <v>1.4695454890417201</v>
      </c>
      <c r="Z9" s="1">
        <v>1.37431883408101</v>
      </c>
      <c r="AA9" s="1">
        <v>1.4534358763178701</v>
      </c>
      <c r="AB9" s="1">
        <v>1.34539327100093</v>
      </c>
      <c r="AC9" s="1">
        <v>1.4163420711397401</v>
      </c>
      <c r="AD9" s="1">
        <f>AVERAGE(C9:AC9)</f>
        <v>1.448042705122683</v>
      </c>
      <c r="AE9" s="1">
        <f>_xlfn.STDEV.P(C9:AC9)</f>
        <v>5.7679009056348665E-2</v>
      </c>
      <c r="AF9" s="1">
        <f>AE9/AD9</f>
        <v>3.9832395033861871E-2</v>
      </c>
    </row>
    <row r="10" spans="1:32" ht="15" x14ac:dyDescent="0.15">
      <c r="A10" t="s">
        <v>3</v>
      </c>
      <c r="B10" s="4">
        <v>43346.197916666664</v>
      </c>
      <c r="C10" s="1">
        <v>1.68974364331357</v>
      </c>
      <c r="D10" s="1">
        <v>1.5519043074401999</v>
      </c>
      <c r="E10" s="1">
        <v>1.5842194735456401</v>
      </c>
      <c r="F10" s="1">
        <v>1.4923939915431299</v>
      </c>
      <c r="G10" s="1">
        <v>1.61197011166258</v>
      </c>
      <c r="H10" s="1">
        <v>1.52196487584417</v>
      </c>
      <c r="I10" s="1">
        <v>1.4909890872013101</v>
      </c>
      <c r="J10" s="1">
        <v>1.6041296067713999</v>
      </c>
      <c r="K10" s="1">
        <v>1.48224476305834</v>
      </c>
      <c r="L10" s="1">
        <v>1.5288557025440599</v>
      </c>
      <c r="M10" s="1">
        <v>1.5636983174767001</v>
      </c>
      <c r="N10" s="1">
        <v>1.56240710772937</v>
      </c>
      <c r="O10" s="1">
        <v>1.5322495113205501</v>
      </c>
      <c r="P10" s="1">
        <v>1.4805878263360099</v>
      </c>
      <c r="Q10" s="1">
        <v>1.52449265577528</v>
      </c>
      <c r="R10" s="1">
        <v>1.6139806489408699</v>
      </c>
      <c r="S10" s="1">
        <v>1.63427148905758</v>
      </c>
      <c r="T10" s="1">
        <v>1.4731724278284499</v>
      </c>
      <c r="U10" s="1">
        <v>1.5807157559423299</v>
      </c>
      <c r="V10" s="1">
        <v>1.49259648636822</v>
      </c>
      <c r="W10" s="1">
        <v>1.54711682416305</v>
      </c>
      <c r="X10" s="1">
        <v>1.3909313243876</v>
      </c>
      <c r="Y10" s="1">
        <v>1.53958262040371</v>
      </c>
      <c r="Z10" s="1">
        <v>1.5903231232845301</v>
      </c>
      <c r="AA10" s="1">
        <v>1.4855159994538301</v>
      </c>
      <c r="AB10" s="1">
        <v>1.5999774866224401</v>
      </c>
      <c r="AC10" s="1">
        <v>1.5599575096913201</v>
      </c>
      <c r="AD10" s="1">
        <f>AVERAGE(C10:AC10)</f>
        <v>1.5455552843594906</v>
      </c>
      <c r="AE10" s="1">
        <f>_xlfn.STDEV.P(C10:AC10)</f>
        <v>6.1109105667731783E-2</v>
      </c>
      <c r="AF10" s="1">
        <f>AE10/AD10</f>
        <v>3.953860873573127E-2</v>
      </c>
    </row>
    <row r="11" spans="1:32" ht="15" x14ac:dyDescent="0.15">
      <c r="A11" t="s">
        <v>3</v>
      </c>
      <c r="B11" s="4">
        <v>43369.951388888891</v>
      </c>
      <c r="C11" s="1">
        <v>0.87679048903567902</v>
      </c>
      <c r="D11" s="1">
        <v>0.878400590208262</v>
      </c>
      <c r="E11" s="1">
        <v>0.86027502379231502</v>
      </c>
      <c r="F11" s="1">
        <v>0.90582685977651101</v>
      </c>
      <c r="G11" s="1">
        <v>0.87677725025888997</v>
      </c>
      <c r="H11" s="1">
        <v>0.91160644520891798</v>
      </c>
      <c r="I11" s="1">
        <v>0.90875111384267504</v>
      </c>
      <c r="J11" s="1">
        <v>0.86359678921073502</v>
      </c>
      <c r="K11" s="1">
        <v>0.90418591686271998</v>
      </c>
      <c r="L11" s="1">
        <v>0.83486490971587901</v>
      </c>
      <c r="M11" s="1">
        <v>0.86232731936669704</v>
      </c>
      <c r="N11" s="1">
        <v>0.86365028249456799</v>
      </c>
      <c r="O11" s="1">
        <v>0.92463665034704901</v>
      </c>
      <c r="P11" s="1">
        <v>0.84988767265030096</v>
      </c>
      <c r="Q11" s="1">
        <v>0.91998869313831599</v>
      </c>
      <c r="R11" s="1">
        <v>0.866766859756537</v>
      </c>
      <c r="S11" s="1">
        <v>0.88189588866070201</v>
      </c>
      <c r="T11" s="1">
        <v>0.866980536011835</v>
      </c>
      <c r="U11" s="1">
        <v>0.89075280682865998</v>
      </c>
      <c r="V11" s="1">
        <v>0.87761249339982506</v>
      </c>
      <c r="W11" s="1">
        <v>0.84262107898504901</v>
      </c>
      <c r="X11" s="1">
        <v>0.81873205335236998</v>
      </c>
      <c r="Y11" s="1">
        <v>0.90562153403111301</v>
      </c>
      <c r="Z11" s="1">
        <v>0.91437369799337798</v>
      </c>
      <c r="AA11" s="1">
        <v>0.90824780992517096</v>
      </c>
      <c r="AB11" s="1">
        <v>0.881005554024477</v>
      </c>
      <c r="AC11" s="1">
        <v>0.99701118260496802</v>
      </c>
      <c r="AD11" s="1">
        <f>AVERAGE(C11:AC11)</f>
        <v>0.88493287042531843</v>
      </c>
      <c r="AE11" s="1">
        <f>_xlfn.STDEV.P(C11:AC11)</f>
        <v>3.4515764057575442E-2</v>
      </c>
      <c r="AF11" s="1">
        <f>AE11/AD11</f>
        <v>3.9003821884236706E-2</v>
      </c>
    </row>
    <row r="12" spans="1:32" ht="15" x14ac:dyDescent="0.15">
      <c r="A12" t="s">
        <v>3</v>
      </c>
      <c r="B12" s="5">
        <v>43587.746527777781</v>
      </c>
      <c r="C12" s="1">
        <v>1.2876347593567801</v>
      </c>
      <c r="D12" s="1">
        <v>1.2367723865411999</v>
      </c>
      <c r="E12" s="1">
        <v>1.25212242615819</v>
      </c>
      <c r="F12" s="1">
        <v>1.2626364311570799</v>
      </c>
      <c r="G12" s="1">
        <v>1.2761873769211001</v>
      </c>
      <c r="H12" s="1">
        <v>1.2049986054162201</v>
      </c>
      <c r="I12" s="1">
        <v>1.2362756977229099</v>
      </c>
      <c r="J12" s="1">
        <v>1.1777242993064501</v>
      </c>
      <c r="K12" s="1">
        <v>1.1544674687080201</v>
      </c>
      <c r="L12" s="1">
        <v>1.11288402430394</v>
      </c>
      <c r="M12" s="1">
        <v>1.3064638220962199</v>
      </c>
      <c r="N12" s="1">
        <v>1.1763225464759499</v>
      </c>
      <c r="O12" s="1">
        <v>1.1156369820468699</v>
      </c>
      <c r="P12" s="1">
        <v>1.1517979886581799</v>
      </c>
      <c r="Q12" s="1">
        <v>1.2404127087649699</v>
      </c>
      <c r="R12" s="1">
        <v>1.23689721655143</v>
      </c>
      <c r="S12" s="1">
        <v>1.2744669024246</v>
      </c>
      <c r="T12" s="1">
        <v>1.25876359822811</v>
      </c>
      <c r="U12" s="1">
        <v>1.2381439050952201</v>
      </c>
      <c r="V12" s="1">
        <v>1.2879965490182601</v>
      </c>
      <c r="W12" s="1">
        <v>1.1382086601471</v>
      </c>
      <c r="X12" s="1">
        <v>1.2243818468829899</v>
      </c>
      <c r="Y12" s="1">
        <v>1.2373330811600001</v>
      </c>
      <c r="Z12" s="1">
        <v>1.23078504190907</v>
      </c>
      <c r="AA12" s="1">
        <v>1.2674358805241901</v>
      </c>
      <c r="AB12" s="1">
        <v>1.2642315109804001</v>
      </c>
      <c r="AC12" s="1">
        <v>1.1808745715827</v>
      </c>
      <c r="AD12" s="1">
        <f>AVERAGE(C12:AC12)</f>
        <v>1.2234020847458575</v>
      </c>
      <c r="AE12" s="1">
        <f>_xlfn.STDEV.P(C12:AC12)</f>
        <v>5.3232455165448556E-2</v>
      </c>
      <c r="AF12" s="1">
        <f>AE12/AD12</f>
        <v>4.3511823160336333E-2</v>
      </c>
    </row>
    <row r="13" spans="1:32" ht="15" x14ac:dyDescent="0.15">
      <c r="A13" t="s">
        <v>3</v>
      </c>
      <c r="B13" s="5">
        <v>43592.670138888891</v>
      </c>
      <c r="C13" s="1">
        <v>1.62126119747883</v>
      </c>
      <c r="D13" s="1">
        <v>1.57634442486837</v>
      </c>
      <c r="E13" s="1">
        <v>1.5025118366650601</v>
      </c>
      <c r="F13" s="1">
        <v>1.5336275317803201</v>
      </c>
      <c r="G13" s="1">
        <v>1.5367321805579399</v>
      </c>
      <c r="H13" s="1">
        <v>1.5285989537992499</v>
      </c>
      <c r="I13" s="1">
        <v>1.4849416636830199</v>
      </c>
      <c r="J13" s="1">
        <v>1.5720125643562901</v>
      </c>
      <c r="K13" s="1">
        <v>1.5555590387196001</v>
      </c>
      <c r="L13" s="1">
        <v>1.5206154844651401</v>
      </c>
      <c r="M13" s="1">
        <v>1.6047803865154799</v>
      </c>
      <c r="N13" s="1">
        <v>1.5032366471845</v>
      </c>
      <c r="O13" s="1">
        <v>1.4934714553305699</v>
      </c>
      <c r="P13" s="1">
        <v>1.43244181774774</v>
      </c>
      <c r="Q13" s="1">
        <v>1.55083483731281</v>
      </c>
      <c r="R13" s="1">
        <v>1.5686510771401501</v>
      </c>
      <c r="S13" s="1">
        <v>1.5771202081197899</v>
      </c>
      <c r="T13" s="1">
        <v>1.3961503011857701</v>
      </c>
      <c r="U13" s="1">
        <v>1.54143452626866</v>
      </c>
      <c r="V13" s="1">
        <v>1.5169691070812701</v>
      </c>
      <c r="W13" s="1">
        <v>1.46818646933186</v>
      </c>
      <c r="X13" s="1">
        <v>1.4988845504539601</v>
      </c>
      <c r="Y13" s="1">
        <v>1.5144979687636899</v>
      </c>
      <c r="Z13" s="1">
        <v>1.5081255793197299</v>
      </c>
      <c r="AA13" s="1">
        <v>1.57709657014375</v>
      </c>
      <c r="AB13" s="1">
        <v>1.5722948675703901</v>
      </c>
      <c r="AC13" s="1">
        <v>1.6090133941693501</v>
      </c>
      <c r="AD13" s="1">
        <f>AVERAGE(C13:AC13)</f>
        <v>1.532051653333826</v>
      </c>
      <c r="AE13" s="1">
        <f>_xlfn.STDEV.P(C13:AC13)</f>
        <v>5.1279306003202151E-2</v>
      </c>
      <c r="AF13" s="1">
        <f>AE13/AD13</f>
        <v>3.3471003338311503E-2</v>
      </c>
    </row>
    <row r="14" spans="1:32" ht="15" x14ac:dyDescent="0.15">
      <c r="A14" t="s">
        <v>3</v>
      </c>
      <c r="B14" s="5">
        <v>43622.885416666664</v>
      </c>
      <c r="C14" s="1">
        <v>1.2050381704315201</v>
      </c>
      <c r="D14" s="1">
        <v>1.2243325474311699</v>
      </c>
      <c r="E14" s="1">
        <v>1.15228386611991</v>
      </c>
      <c r="F14" s="1">
        <v>1.20788610407551</v>
      </c>
      <c r="G14" s="1">
        <v>1.20536711106414</v>
      </c>
      <c r="H14" s="1">
        <v>1.23332285788913</v>
      </c>
      <c r="I14" s="1">
        <v>1.1735661056789599</v>
      </c>
      <c r="J14" s="1">
        <v>1.2063897394333301</v>
      </c>
      <c r="K14" s="1">
        <v>1.3090205718680801</v>
      </c>
      <c r="L14" s="1">
        <v>1.27104037483452</v>
      </c>
      <c r="M14" s="1">
        <v>1.20220856199893</v>
      </c>
      <c r="N14" s="1">
        <v>1.21384692673397</v>
      </c>
      <c r="O14" s="1">
        <v>1.26052688672155</v>
      </c>
      <c r="P14" s="1">
        <v>1.1590022161592901</v>
      </c>
      <c r="Q14" s="1">
        <v>1.30731723246191</v>
      </c>
      <c r="R14" s="1">
        <v>1.14847074012702</v>
      </c>
      <c r="S14" s="1">
        <v>1.16187284206463</v>
      </c>
      <c r="T14" s="1">
        <v>1.1829226522852001</v>
      </c>
      <c r="U14" s="1">
        <v>1.21717886016751</v>
      </c>
      <c r="V14" s="1">
        <v>1.16628307979518</v>
      </c>
      <c r="W14" s="1">
        <v>1.24614788676304</v>
      </c>
      <c r="X14" s="1">
        <v>1.1668312925279001</v>
      </c>
      <c r="Y14" s="1">
        <v>1.14886938699694</v>
      </c>
      <c r="Z14" s="1">
        <v>1.1691545699444299</v>
      </c>
      <c r="AA14" s="1">
        <v>1.12877225787485</v>
      </c>
      <c r="AB14" s="1">
        <v>1.3007337017934499</v>
      </c>
      <c r="AC14" s="1">
        <v>1.22285053677888</v>
      </c>
      <c r="AD14" s="1">
        <f>AVERAGE(C14:AC14)</f>
        <v>1.2070828548155905</v>
      </c>
      <c r="AE14" s="1">
        <f>_xlfn.STDEV.P(C14:AC14)</f>
        <v>4.9382043484094786E-2</v>
      </c>
      <c r="AF14" s="1">
        <f>AE14/AD14</f>
        <v>4.0910235189811406E-2</v>
      </c>
    </row>
    <row r="15" spans="1:32" ht="15" x14ac:dyDescent="0.15">
      <c r="A15" t="s">
        <v>3</v>
      </c>
      <c r="B15" s="5">
        <v>43624.8125</v>
      </c>
      <c r="C15" s="1">
        <v>1.3534942455899699</v>
      </c>
      <c r="D15" s="1">
        <v>1.40755140039065</v>
      </c>
      <c r="E15" s="1">
        <v>1.3928594508138299</v>
      </c>
      <c r="F15" s="1">
        <v>1.42050032597973</v>
      </c>
      <c r="G15" s="1">
        <v>1.41099008498182</v>
      </c>
      <c r="H15" s="1">
        <v>1.33882874833924</v>
      </c>
      <c r="I15" s="1">
        <v>1.42296767714857</v>
      </c>
      <c r="J15" s="1">
        <v>1.44388968100429</v>
      </c>
      <c r="K15" s="1">
        <v>1.4434110303888099</v>
      </c>
      <c r="L15" s="1">
        <v>1.1977681950583501</v>
      </c>
      <c r="M15" s="1">
        <v>1.45489961376928</v>
      </c>
      <c r="N15" s="1">
        <v>1.35258687830772</v>
      </c>
      <c r="O15" s="1">
        <v>1.2985027974224901</v>
      </c>
      <c r="P15" s="1">
        <v>1.3044761816314401</v>
      </c>
      <c r="Q15" s="1">
        <v>1.43837745181953</v>
      </c>
      <c r="R15" s="1">
        <v>1.4066503189103099</v>
      </c>
      <c r="S15" s="1">
        <v>1.40171564914222</v>
      </c>
      <c r="T15" s="1">
        <v>1.3445843885384501</v>
      </c>
      <c r="U15" s="1">
        <v>1.3866658628219499</v>
      </c>
      <c r="V15" s="1">
        <v>1.3638183561823001</v>
      </c>
      <c r="W15" s="1">
        <v>1.28121866261601</v>
      </c>
      <c r="X15" s="1">
        <v>1.3030710103284899</v>
      </c>
      <c r="Y15" s="1">
        <v>1.40914538181823</v>
      </c>
      <c r="Z15" s="1">
        <v>1.38464618703252</v>
      </c>
      <c r="AA15" s="1">
        <v>1.4844139277528701</v>
      </c>
      <c r="AB15" s="1">
        <v>1.2668038006881199</v>
      </c>
      <c r="AC15" s="1">
        <v>1.38085930558314</v>
      </c>
      <c r="AD15" s="1">
        <f>AVERAGE(C15:AC15)</f>
        <v>1.3738776523726046</v>
      </c>
      <c r="AE15" s="1">
        <f>_xlfn.STDEV.P(C15:AC15)</f>
        <v>6.4747027126877521E-2</v>
      </c>
      <c r="AF15" s="1">
        <f>AE15/AD15</f>
        <v>4.7127214723278507E-2</v>
      </c>
    </row>
    <row r="16" spans="1:32" ht="15" x14ac:dyDescent="0.15">
      <c r="A16" t="s">
        <v>3</v>
      </c>
      <c r="B16" s="5">
        <v>43632</v>
      </c>
      <c r="C16" s="1">
        <v>1.60446650902345</v>
      </c>
      <c r="D16" s="1">
        <v>1.60828581470369</v>
      </c>
      <c r="E16" s="1">
        <v>1.5934404848877901</v>
      </c>
      <c r="F16" s="1">
        <v>1.6087383010377101</v>
      </c>
      <c r="G16" s="1">
        <v>1.7071779484818299</v>
      </c>
      <c r="H16" s="1">
        <v>1.57080179160544</v>
      </c>
      <c r="I16" s="1">
        <v>1.59712288766185</v>
      </c>
      <c r="J16" s="1">
        <v>1.6911814361153401</v>
      </c>
      <c r="K16" s="1">
        <v>1.70809178688237</v>
      </c>
      <c r="L16" s="1">
        <v>1.65265005916796</v>
      </c>
      <c r="M16" s="1">
        <v>1.6553707783928799</v>
      </c>
      <c r="N16" s="1">
        <v>1.63741344797366</v>
      </c>
      <c r="O16" s="1">
        <v>1.62352843345052</v>
      </c>
      <c r="P16" s="1">
        <v>1.5288134507644799</v>
      </c>
      <c r="Q16" s="1">
        <v>1.6043145535246699</v>
      </c>
      <c r="R16" s="1">
        <v>1.6171142623157</v>
      </c>
      <c r="S16" s="1">
        <v>1.6770710238712201</v>
      </c>
      <c r="T16" s="1">
        <v>1.5322262968473901</v>
      </c>
      <c r="U16" s="1">
        <v>1.6485479420496501</v>
      </c>
      <c r="V16" s="1">
        <v>1.6122710672224501</v>
      </c>
      <c r="W16" s="1">
        <v>1.5669286397897599</v>
      </c>
      <c r="X16" s="1">
        <v>1.5925634477975401</v>
      </c>
      <c r="Y16" s="1">
        <v>1.5673214100809001</v>
      </c>
      <c r="Z16" s="1">
        <v>1.6296081614870299</v>
      </c>
      <c r="AA16" s="1">
        <v>1.67819638713674</v>
      </c>
      <c r="AB16" s="1">
        <v>1.6561239955328899</v>
      </c>
      <c r="AC16" s="1">
        <v>1.5987199251823301</v>
      </c>
      <c r="AD16" s="1">
        <f>AVERAGE(C16:AC16)</f>
        <v>1.6210403793698973</v>
      </c>
      <c r="AE16" s="1">
        <f>_xlfn.STDEV.P(C16:AC16)</f>
        <v>4.6813965726631303E-2</v>
      </c>
      <c r="AF16" s="1">
        <f>AE16/AD16</f>
        <v>2.8878963363533249E-2</v>
      </c>
    </row>
    <row r="17" spans="1:32" ht="15" x14ac:dyDescent="0.15">
      <c r="A17" t="s">
        <v>3</v>
      </c>
      <c r="B17" s="5">
        <v>43652.704861111109</v>
      </c>
      <c r="C17" s="1">
        <v>1.5927938465534299</v>
      </c>
      <c r="D17" s="1">
        <v>1.5019627382540199</v>
      </c>
      <c r="E17" s="1">
        <v>1.58225931410339</v>
      </c>
      <c r="F17" s="1">
        <v>1.5461430814469199</v>
      </c>
      <c r="G17" s="1">
        <v>1.5937541286682899</v>
      </c>
      <c r="H17" s="1">
        <v>1.5233197537704399</v>
      </c>
      <c r="I17" s="1">
        <v>1.51025488153237</v>
      </c>
      <c r="J17" s="1">
        <v>1.6290417071054899</v>
      </c>
      <c r="K17" s="1">
        <v>1.62605569976914</v>
      </c>
      <c r="L17" s="1">
        <v>1.5028208149508999</v>
      </c>
      <c r="M17" s="1">
        <v>1.5722084829203</v>
      </c>
      <c r="N17" s="1">
        <v>1.588965019762</v>
      </c>
      <c r="O17" s="1">
        <v>1.5259906369468501</v>
      </c>
      <c r="P17" s="1">
        <v>1.42540521841487</v>
      </c>
      <c r="Q17" s="1">
        <v>1.52549221455421</v>
      </c>
      <c r="R17" s="1">
        <v>1.5507831385470401</v>
      </c>
      <c r="S17" s="1">
        <v>1.60234739444076</v>
      </c>
      <c r="T17" s="1">
        <v>1.4548914881425701</v>
      </c>
      <c r="U17" s="1">
        <v>1.5912999342743299</v>
      </c>
      <c r="V17" s="1">
        <v>1.5712093989912901</v>
      </c>
      <c r="W17" s="1">
        <v>1.52571680545959</v>
      </c>
      <c r="X17" s="1">
        <v>1.4278626009237001</v>
      </c>
      <c r="Y17" s="1">
        <v>1.4872876880267001</v>
      </c>
      <c r="Z17" s="1">
        <v>1.5107391803968799</v>
      </c>
      <c r="AA17" s="1">
        <v>1.7075847040809899</v>
      </c>
      <c r="AB17" s="1">
        <v>1.62382230252223</v>
      </c>
      <c r="AC17" s="1">
        <v>1.52940080492287</v>
      </c>
      <c r="AD17" s="1">
        <f>AVERAGE(C17:AC17)</f>
        <v>1.5492375177585769</v>
      </c>
      <c r="AE17" s="1">
        <f>_xlfn.STDEV.P(C17:AC17)</f>
        <v>6.3241310706586784E-2</v>
      </c>
      <c r="AF17" s="1">
        <f>AE17/AD17</f>
        <v>4.0820926411647813E-2</v>
      </c>
    </row>
    <row r="18" spans="1:32" ht="15" x14ac:dyDescent="0.15">
      <c r="A18" t="s">
        <v>3</v>
      </c>
      <c r="B18" s="5">
        <v>43653.791666666664</v>
      </c>
      <c r="C18" s="1">
        <v>1.2126607977336601</v>
      </c>
      <c r="D18" s="1">
        <v>1.3165720722839001</v>
      </c>
      <c r="E18" s="1">
        <v>1.28197193918665</v>
      </c>
      <c r="F18" s="1">
        <v>1.3180582129823499</v>
      </c>
      <c r="G18" s="1">
        <v>1.4479664311898</v>
      </c>
      <c r="H18" s="1">
        <v>1.2760966464546799</v>
      </c>
      <c r="I18" s="1">
        <v>1.3307647328527401</v>
      </c>
      <c r="J18" s="1">
        <v>1.4326537898254399</v>
      </c>
      <c r="K18" s="1">
        <v>1.3595170195492601</v>
      </c>
      <c r="L18" s="1">
        <v>1.2340282676993499</v>
      </c>
      <c r="M18" s="1">
        <v>1.35627623313924</v>
      </c>
      <c r="N18" s="1">
        <v>1.3263642189864799</v>
      </c>
      <c r="O18" s="1">
        <v>1.3747777671958701</v>
      </c>
      <c r="P18" s="1">
        <v>1.32613042741201</v>
      </c>
      <c r="Q18" s="1">
        <v>1.34219139431706</v>
      </c>
      <c r="R18" s="1">
        <v>1.2975197967795</v>
      </c>
      <c r="S18" s="1">
        <v>1.3112721153909901</v>
      </c>
      <c r="T18" s="1">
        <v>1.2961389937449801</v>
      </c>
      <c r="U18" s="1">
        <v>1.33458133670597</v>
      </c>
      <c r="V18" s="1">
        <v>1.295371769543</v>
      </c>
      <c r="W18" s="1">
        <v>1.3432515872803601</v>
      </c>
      <c r="X18" s="1">
        <v>1.2839973452842499</v>
      </c>
      <c r="Y18" s="1">
        <v>1.30854022796174</v>
      </c>
      <c r="Z18" s="1">
        <v>1.2600204048330701</v>
      </c>
      <c r="AA18" s="1">
        <v>1.42522463614815</v>
      </c>
      <c r="AB18" s="1">
        <v>1.2404359146655899</v>
      </c>
      <c r="AC18" s="1">
        <v>1.21422768645233</v>
      </c>
      <c r="AD18" s="1">
        <f>AVERAGE(C18:AC18)</f>
        <v>1.3165411765036452</v>
      </c>
      <c r="AE18" s="1">
        <f>_xlfn.STDEV.P(C18:AC18)</f>
        <v>5.8921185013975572E-2</v>
      </c>
      <c r="AF18" s="1">
        <f>AE18/AD18</f>
        <v>4.4754532608279898E-2</v>
      </c>
    </row>
    <row r="19" spans="1:32" ht="15" x14ac:dyDescent="0.15">
      <c r="A19" t="s">
        <v>3</v>
      </c>
      <c r="B19" s="5">
        <v>43655.979166666664</v>
      </c>
      <c r="C19" s="1">
        <v>1.5395038934857599</v>
      </c>
      <c r="D19" s="1">
        <v>1.4891452782508401</v>
      </c>
      <c r="E19" s="1">
        <v>1.50598194824184</v>
      </c>
      <c r="F19" s="1">
        <v>1.45992430722268</v>
      </c>
      <c r="G19" s="1">
        <v>1.5606641820466201</v>
      </c>
      <c r="H19" s="1">
        <v>1.5088868249708001</v>
      </c>
      <c r="I19" s="1">
        <v>1.3949152172836099</v>
      </c>
      <c r="J19" s="1">
        <v>1.58178291294426</v>
      </c>
      <c r="K19" s="1">
        <v>1.51479685257444</v>
      </c>
      <c r="L19" s="1">
        <v>1.52706187026736</v>
      </c>
      <c r="M19" s="1">
        <v>1.5223627479973201</v>
      </c>
      <c r="N19" s="1">
        <v>1.50347535097399</v>
      </c>
      <c r="O19" s="1">
        <v>1.4051083802944899</v>
      </c>
      <c r="P19" s="1">
        <v>1.4184046507583601</v>
      </c>
      <c r="Q19" s="1">
        <v>1.4890751699757501</v>
      </c>
      <c r="R19" s="1">
        <v>1.4981894209034201</v>
      </c>
      <c r="S19" s="1">
        <v>1.53947944012615</v>
      </c>
      <c r="T19" s="1">
        <v>1.4181609433245901</v>
      </c>
      <c r="U19" s="1">
        <v>1.47181913813601</v>
      </c>
      <c r="V19" s="1">
        <v>1.4595087822939401</v>
      </c>
      <c r="W19" s="1">
        <v>1.4947461886193001</v>
      </c>
      <c r="X19" s="1">
        <v>1.35353591805296</v>
      </c>
      <c r="Y19" s="1">
        <v>1.4445121446823099</v>
      </c>
      <c r="Z19" s="1">
        <v>1.47418102512646</v>
      </c>
      <c r="AA19" s="1">
        <v>1.4796417801633299</v>
      </c>
      <c r="AB19" s="1">
        <v>1.60141702901089</v>
      </c>
      <c r="AC19" s="1">
        <v>1.4463357731692901</v>
      </c>
      <c r="AD19" s="1">
        <f>AVERAGE(C19:AC19)</f>
        <v>1.4852821174406206</v>
      </c>
      <c r="AE19" s="1">
        <f>_xlfn.STDEV.P(C19:AC19)</f>
        <v>5.6340502541891282E-2</v>
      </c>
      <c r="AF19" s="1">
        <f>AE19/AD19</f>
        <v>3.793252600319124E-2</v>
      </c>
    </row>
    <row r="20" spans="1:32" ht="15" x14ac:dyDescent="0.15">
      <c r="A20" t="s">
        <v>3</v>
      </c>
      <c r="B20" s="5">
        <v>43664.604166666664</v>
      </c>
      <c r="C20" s="1">
        <v>1.37292996636291</v>
      </c>
      <c r="D20" s="1">
        <v>1.4619819359683699</v>
      </c>
      <c r="E20" s="1">
        <v>1.4454934622295501</v>
      </c>
      <c r="F20" s="1">
        <v>1.4547672357478001</v>
      </c>
      <c r="G20" s="1">
        <v>1.4380400803667699</v>
      </c>
      <c r="H20" s="1">
        <v>1.4215780672462901</v>
      </c>
      <c r="I20" s="1">
        <v>1.40797723963674</v>
      </c>
      <c r="J20" s="1">
        <v>1.48815394875355</v>
      </c>
      <c r="K20" s="1">
        <v>1.4831943583323799</v>
      </c>
      <c r="L20" s="1">
        <v>1.2898883141704001</v>
      </c>
      <c r="M20" s="1">
        <v>1.4746119614406701</v>
      </c>
      <c r="N20" s="1">
        <v>1.3993065412283501</v>
      </c>
      <c r="O20" s="1">
        <v>1.36210775750923</v>
      </c>
      <c r="P20" s="1">
        <v>1.38390250314817</v>
      </c>
      <c r="Q20" s="1">
        <v>1.5134815372517401</v>
      </c>
      <c r="R20" s="1">
        <v>1.44506428835747</v>
      </c>
      <c r="S20" s="1">
        <v>1.4259865710740101</v>
      </c>
      <c r="T20" s="1">
        <v>1.3961780694641901</v>
      </c>
      <c r="U20" s="1">
        <v>1.3769419398081799</v>
      </c>
      <c r="V20" s="1">
        <v>1.4185006346003901</v>
      </c>
      <c r="W20" s="1">
        <v>1.33525842056136</v>
      </c>
      <c r="X20" s="1">
        <v>1.3398732644079701</v>
      </c>
      <c r="Y20" s="1">
        <v>1.50834991467744</v>
      </c>
      <c r="Z20" s="1">
        <v>1.3706693739318501</v>
      </c>
      <c r="AA20" s="1">
        <v>1.48006491876733</v>
      </c>
      <c r="AB20" s="1">
        <v>1.3294369764632401</v>
      </c>
      <c r="AC20" s="1">
        <v>1.4260674024328099</v>
      </c>
      <c r="AD20" s="1">
        <f>AVERAGE(C20:AC20)</f>
        <v>1.4166595068125616</v>
      </c>
      <c r="AE20" s="1">
        <f>_xlfn.STDEV.P(C20:AC20)</f>
        <v>5.6814905896502066E-2</v>
      </c>
      <c r="AF20" s="1">
        <f>AE20/AD20</f>
        <v>4.0104842146814645E-2</v>
      </c>
    </row>
    <row r="21" spans="1:32" ht="15" x14ac:dyDescent="0.15">
      <c r="A21" t="s">
        <v>3</v>
      </c>
      <c r="B21" s="5">
        <v>43666.309027777781</v>
      </c>
      <c r="C21" s="1">
        <v>1.5346861976403501</v>
      </c>
      <c r="D21" s="1">
        <v>1.60305144844891</v>
      </c>
      <c r="E21" s="1">
        <v>1.51759704374381</v>
      </c>
      <c r="F21" s="1">
        <v>1.5584093006561801</v>
      </c>
      <c r="G21" s="1">
        <v>1.6031429412559499</v>
      </c>
      <c r="H21" s="1">
        <v>1.62503267551074</v>
      </c>
      <c r="I21" s="1">
        <v>1.5160632080030301</v>
      </c>
      <c r="J21" s="1">
        <v>1.61172157432106</v>
      </c>
      <c r="K21" s="1">
        <v>1.48475684180104</v>
      </c>
      <c r="L21" s="1">
        <v>1.46632860468902</v>
      </c>
      <c r="M21" s="1">
        <v>1.6207577173429899</v>
      </c>
      <c r="N21" s="1">
        <v>1.3970213752185201</v>
      </c>
      <c r="O21" s="1">
        <v>1.54662791377653</v>
      </c>
      <c r="P21" s="1">
        <v>1.4631419822312</v>
      </c>
      <c r="Q21" s="1">
        <v>1.5488945829571601</v>
      </c>
      <c r="R21" s="1">
        <v>1.53944739604932</v>
      </c>
      <c r="S21" s="1">
        <v>1.6582016728224001</v>
      </c>
      <c r="T21" s="1">
        <v>1.4337655680641299</v>
      </c>
      <c r="U21" s="1">
        <v>1.5038053075625999</v>
      </c>
      <c r="V21" s="1">
        <v>1.6461950464958499</v>
      </c>
      <c r="W21" s="1">
        <v>1.5191473466165599</v>
      </c>
      <c r="X21" s="1">
        <v>1.5884192721707899</v>
      </c>
      <c r="Y21" s="1">
        <v>1.52532962153788</v>
      </c>
      <c r="Z21" s="1">
        <v>1.5122756859176101</v>
      </c>
      <c r="AA21" s="1">
        <v>1.5387401188406999</v>
      </c>
      <c r="AB21" s="1">
        <v>1.59221551107667</v>
      </c>
      <c r="AC21" s="1">
        <v>1.3677227542777299</v>
      </c>
      <c r="AD21" s="1">
        <f>AVERAGE(C21:AC21)</f>
        <v>1.5378703225566195</v>
      </c>
      <c r="AE21" s="1">
        <f>_xlfn.STDEV.P(C21:AC21)</f>
        <v>7.1270617602201214E-2</v>
      </c>
      <c r="AF21" s="1">
        <f>AE21/AD21</f>
        <v>4.6343710881758857E-2</v>
      </c>
    </row>
    <row r="22" spans="1:32" ht="15" x14ac:dyDescent="0.15">
      <c r="A22" t="s">
        <v>3</v>
      </c>
      <c r="B22" s="5">
        <v>43702.729166666664</v>
      </c>
      <c r="C22" s="1">
        <v>1.5702222986462</v>
      </c>
      <c r="D22" s="1">
        <v>1.39362201240178</v>
      </c>
      <c r="E22" s="1">
        <v>1.405817746953</v>
      </c>
      <c r="F22" s="1">
        <v>1.41352864567703</v>
      </c>
      <c r="G22" s="1">
        <v>1.4243033068041899</v>
      </c>
      <c r="H22" s="1">
        <v>1.43545777005439</v>
      </c>
      <c r="I22" s="1">
        <v>1.3485289758386301</v>
      </c>
      <c r="J22" s="1">
        <v>1.39650231644793</v>
      </c>
      <c r="K22" s="1">
        <v>1.31707752588087</v>
      </c>
      <c r="L22" s="1">
        <v>1.32949252743003</v>
      </c>
      <c r="M22" s="1">
        <v>1.4664753416915599</v>
      </c>
      <c r="N22" s="1">
        <v>1.34602386800867</v>
      </c>
      <c r="O22" s="1">
        <v>1.25281826656506</v>
      </c>
      <c r="P22" s="1">
        <v>1.34586686099667</v>
      </c>
      <c r="Q22" s="1">
        <v>1.4019489154709099</v>
      </c>
      <c r="R22" s="1">
        <v>1.4344132734280199</v>
      </c>
      <c r="S22" s="1">
        <v>1.4605128917630199</v>
      </c>
      <c r="T22" s="1">
        <v>1.35802861773033</v>
      </c>
      <c r="U22" s="1">
        <v>1.4251421409960501</v>
      </c>
      <c r="V22" s="1">
        <v>1.36462001211924</v>
      </c>
      <c r="W22" s="1">
        <v>1.3276821581751601</v>
      </c>
      <c r="X22" s="1">
        <v>1.28900412950044</v>
      </c>
      <c r="Y22" s="1">
        <v>1.3279737404463801</v>
      </c>
      <c r="Z22" s="1">
        <v>1.3933676917142901</v>
      </c>
      <c r="AA22" s="1">
        <v>1.3566210662982101</v>
      </c>
      <c r="AB22" s="1">
        <v>1.4377490713593799</v>
      </c>
      <c r="AC22" s="1">
        <v>1.4176843000775901</v>
      </c>
      <c r="AD22" s="1">
        <f>AVERAGE(C22:AC22)</f>
        <v>1.3866846471287049</v>
      </c>
      <c r="AE22" s="1">
        <f>_xlfn.STDEV.P(C22:AC22)</f>
        <v>6.3135582086652528E-2</v>
      </c>
      <c r="AF22" s="1">
        <f>AE22/AD22</f>
        <v>4.5529877479629013E-2</v>
      </c>
    </row>
    <row r="23" spans="1:32" ht="15" x14ac:dyDescent="0.15">
      <c r="A23" t="s">
        <v>3</v>
      </c>
      <c r="B23" s="5">
        <v>43717.444444444445</v>
      </c>
      <c r="C23" s="1">
        <v>1.03119421944267</v>
      </c>
      <c r="D23" s="1">
        <v>0.96662867615431003</v>
      </c>
      <c r="E23" s="1">
        <v>1.0511850718825999</v>
      </c>
      <c r="F23" s="1">
        <v>1.0118683385829601</v>
      </c>
      <c r="G23" s="1">
        <v>0.99698408161946706</v>
      </c>
      <c r="H23" s="1">
        <v>1.07901265532595</v>
      </c>
      <c r="I23" s="1">
        <v>1.00226244126569</v>
      </c>
      <c r="J23" s="1">
        <v>0.999064379157935</v>
      </c>
      <c r="K23" s="1">
        <v>1.01855779589151</v>
      </c>
      <c r="L23" s="1">
        <v>1.01863988441551</v>
      </c>
      <c r="M23" s="1">
        <v>0.99402537206525998</v>
      </c>
      <c r="N23" s="1">
        <v>0.96598736906125304</v>
      </c>
      <c r="O23" s="1">
        <v>1.03531576029314</v>
      </c>
      <c r="P23" s="1">
        <v>1.01375023134663</v>
      </c>
      <c r="Q23" s="1">
        <v>0.97436545128635199</v>
      </c>
      <c r="R23" s="1">
        <v>0.98524885049333299</v>
      </c>
      <c r="S23" s="1">
        <v>0.97949875720059298</v>
      </c>
      <c r="T23" s="1">
        <v>1.0238969605677599</v>
      </c>
      <c r="U23" s="1">
        <v>1.03741014843701</v>
      </c>
      <c r="V23" s="1">
        <v>1.03386544208387</v>
      </c>
      <c r="W23" s="1">
        <v>1.03107531334489</v>
      </c>
      <c r="X23" s="1">
        <v>1.06432188883463</v>
      </c>
      <c r="Y23" s="1">
        <v>0.99467724943748803</v>
      </c>
      <c r="Z23" s="1">
        <v>0.97489124220607404</v>
      </c>
      <c r="AA23" s="1">
        <v>1.03793820461207</v>
      </c>
      <c r="AB23" s="1">
        <v>1.12569400917951</v>
      </c>
      <c r="AC23" s="1">
        <v>0.92258945568002904</v>
      </c>
      <c r="AD23" s="1">
        <f>AVERAGE(C23:AC23)</f>
        <v>1.0137018240692035</v>
      </c>
      <c r="AE23" s="1">
        <f>_xlfn.STDEV.P(C23:AC23)</f>
        <v>3.979679533153143E-2</v>
      </c>
      <c r="AF23" s="1">
        <f>AE23/AD23</f>
        <v>3.9258877104293911E-2</v>
      </c>
    </row>
    <row r="24" spans="1:32" ht="15" x14ac:dyDescent="0.15">
      <c r="A24" t="s">
        <v>4</v>
      </c>
      <c r="B24" s="4">
        <v>43266.375</v>
      </c>
      <c r="C24" s="1">
        <v>1.7202640954430499</v>
      </c>
      <c r="D24" s="1">
        <v>1.56629794497395</v>
      </c>
      <c r="E24" s="1">
        <v>1.6445080853441001</v>
      </c>
      <c r="F24" s="1">
        <v>1.58719696651484</v>
      </c>
      <c r="G24" s="1">
        <v>1.6807507961649899</v>
      </c>
      <c r="H24" s="1">
        <v>1.62446631790958</v>
      </c>
      <c r="I24" s="1">
        <v>1.6191021277606199</v>
      </c>
      <c r="J24" s="1">
        <v>1.7448154403681899</v>
      </c>
      <c r="K24" s="1">
        <v>1.5915909104821699</v>
      </c>
      <c r="L24" s="1">
        <v>1.58991951702643</v>
      </c>
      <c r="M24" s="1">
        <v>1.6215938407970401</v>
      </c>
      <c r="N24" s="1">
        <v>1.6592772329950101</v>
      </c>
      <c r="O24" s="1">
        <v>1.5760106272710199</v>
      </c>
      <c r="P24" s="1">
        <v>1.63773474513767</v>
      </c>
      <c r="Q24" s="1">
        <v>1.5436670116069</v>
      </c>
      <c r="R24" s="1">
        <v>1.58384786989621</v>
      </c>
      <c r="S24" s="1">
        <v>1.65854191077763</v>
      </c>
      <c r="T24" s="1">
        <v>1.5515756605658899</v>
      </c>
      <c r="U24" s="1">
        <v>1.61320983106979</v>
      </c>
      <c r="V24" s="1">
        <v>1.58815149658314</v>
      </c>
      <c r="W24" s="1">
        <v>1.6048164813418899</v>
      </c>
      <c r="X24" s="1">
        <v>1.5106621026537901</v>
      </c>
      <c r="Y24" s="1">
        <v>1.6189724188521399</v>
      </c>
      <c r="Z24" s="1">
        <v>1.6530462840232101</v>
      </c>
      <c r="AA24" s="1">
        <v>1.7114869642728201</v>
      </c>
      <c r="AB24" s="1">
        <v>1.69493186944299</v>
      </c>
      <c r="AC24" s="1">
        <v>1.52336760303817</v>
      </c>
      <c r="AD24" s="1">
        <f>AVERAGE(C24:AC24)</f>
        <v>1.6192520797153047</v>
      </c>
      <c r="AE24" s="1">
        <f>_xlfn.STDEV.P(C24:AC24)</f>
        <v>5.7849687165314835E-2</v>
      </c>
      <c r="AF24" s="1">
        <f>AE24/AD24</f>
        <v>3.5726177467986273E-2</v>
      </c>
    </row>
    <row r="25" spans="1:32" ht="15" x14ac:dyDescent="0.15">
      <c r="A25" t="s">
        <v>4</v>
      </c>
      <c r="B25" s="4">
        <v>43267.354166666664</v>
      </c>
      <c r="C25" s="1">
        <v>1.6319706085964301</v>
      </c>
      <c r="D25" s="1">
        <v>1.5583883781566701</v>
      </c>
      <c r="E25" s="1">
        <v>1.4389467754432601</v>
      </c>
      <c r="F25" s="1">
        <v>1.51677875343902</v>
      </c>
      <c r="G25" s="1">
        <v>1.5336355520042</v>
      </c>
      <c r="H25" s="1">
        <v>1.5092662661215199</v>
      </c>
      <c r="I25" s="1">
        <v>1.50801335913554</v>
      </c>
      <c r="J25" s="1">
        <v>1.5878837397146</v>
      </c>
      <c r="K25" s="1">
        <v>1.51921136533326</v>
      </c>
      <c r="L25" s="1">
        <v>1.5135187830277199</v>
      </c>
      <c r="M25" s="1">
        <v>1.60004676362586</v>
      </c>
      <c r="N25" s="1">
        <v>1.46365637412826</v>
      </c>
      <c r="O25" s="1">
        <v>1.5480500763143199</v>
      </c>
      <c r="P25" s="1">
        <v>1.3749131048152601</v>
      </c>
      <c r="Q25" s="1">
        <v>1.4988812314623901</v>
      </c>
      <c r="R25" s="1">
        <v>1.53058146524006</v>
      </c>
      <c r="S25" s="1">
        <v>1.55618063689633</v>
      </c>
      <c r="T25" s="1">
        <v>1.39601957905177</v>
      </c>
      <c r="U25" s="1">
        <v>1.5365368885014901</v>
      </c>
      <c r="V25" s="1">
        <v>1.5170381835310001</v>
      </c>
      <c r="W25" s="1">
        <v>1.43234203791499</v>
      </c>
      <c r="X25" s="1">
        <v>1.49070390936621</v>
      </c>
      <c r="Y25" s="1">
        <v>1.47329966367583</v>
      </c>
      <c r="Z25" s="1">
        <v>1.50173890665772</v>
      </c>
      <c r="AA25" s="1">
        <v>1.5643781159177601</v>
      </c>
      <c r="AB25" s="1">
        <v>1.54804455810104</v>
      </c>
      <c r="AC25" s="1">
        <v>1.5933752650953299</v>
      </c>
      <c r="AD25" s="1">
        <f>AVERAGE(C25:AC25)</f>
        <v>1.5164222348617722</v>
      </c>
      <c r="AE25" s="1">
        <f>_xlfn.STDEV.P(C25:AC25)</f>
        <v>5.8839718045376257E-2</v>
      </c>
      <c r="AF25" s="1">
        <f>AE25/AD25</f>
        <v>3.8801671917412718E-2</v>
      </c>
    </row>
    <row r="26" spans="1:32" ht="15" x14ac:dyDescent="0.15">
      <c r="A26" t="s">
        <v>4</v>
      </c>
      <c r="B26" s="4">
        <v>43299.520833333336</v>
      </c>
      <c r="C26" s="1">
        <v>1.5426840833181901</v>
      </c>
      <c r="D26" s="1">
        <v>1.49755459164024</v>
      </c>
      <c r="E26" s="1">
        <v>1.5603871152117801</v>
      </c>
      <c r="F26" s="1">
        <v>1.4885013997877199</v>
      </c>
      <c r="G26" s="1">
        <v>1.5710941513510801</v>
      </c>
      <c r="H26" s="1">
        <v>1.5054476768634999</v>
      </c>
      <c r="I26" s="1">
        <v>1.4517452740474599</v>
      </c>
      <c r="J26" s="1">
        <v>1.56274989756782</v>
      </c>
      <c r="K26" s="1">
        <v>1.4717790820940899</v>
      </c>
      <c r="L26" s="1">
        <v>1.4973662338706299</v>
      </c>
      <c r="M26" s="1">
        <v>1.54071891987471</v>
      </c>
      <c r="N26" s="1">
        <v>1.50795149685678</v>
      </c>
      <c r="O26" s="1">
        <v>1.4114996414772301</v>
      </c>
      <c r="P26" s="1">
        <v>1.38875960186401</v>
      </c>
      <c r="Q26" s="1">
        <v>1.43428464569199</v>
      </c>
      <c r="R26" s="1">
        <v>1.5326904514206601</v>
      </c>
      <c r="S26" s="1">
        <v>1.5822217454309999</v>
      </c>
      <c r="T26" s="1">
        <v>1.48127306042019</v>
      </c>
      <c r="U26" s="1">
        <v>1.56042415008748</v>
      </c>
      <c r="V26" s="1">
        <v>1.51759316807871</v>
      </c>
      <c r="W26" s="1">
        <v>1.4675212192959901</v>
      </c>
      <c r="X26" s="1">
        <v>1.3999820695299201</v>
      </c>
      <c r="Y26" s="1">
        <v>1.48217384391205</v>
      </c>
      <c r="Z26" s="1">
        <v>1.5547559630632799</v>
      </c>
      <c r="AA26" s="1">
        <v>1.5897719303740601</v>
      </c>
      <c r="AB26" s="1">
        <v>1.6111486461609399</v>
      </c>
      <c r="AC26" s="1">
        <v>1.43556304545133</v>
      </c>
      <c r="AD26" s="1">
        <f>AVERAGE(C26:AC26)</f>
        <v>1.505468263138624</v>
      </c>
      <c r="AE26" s="1">
        <f>_xlfn.STDEV.P(C26:AC26)</f>
        <v>5.9091683269069606E-2</v>
      </c>
      <c r="AF26" s="1">
        <f>AE26/AD26</f>
        <v>3.9251364320277551E-2</v>
      </c>
    </row>
    <row r="27" spans="1:32" ht="15" x14ac:dyDescent="0.15">
      <c r="A27" t="s">
        <v>4</v>
      </c>
      <c r="B27" s="4">
        <v>43315.670138888891</v>
      </c>
      <c r="C27" s="1">
        <v>1.2612063430054301</v>
      </c>
      <c r="D27" s="1">
        <v>1.2270609390829601</v>
      </c>
      <c r="E27" s="1">
        <v>1.19035578825475</v>
      </c>
      <c r="F27" s="1">
        <v>1.28981615350649</v>
      </c>
      <c r="G27" s="1">
        <v>1.32031938309889</v>
      </c>
      <c r="H27" s="1">
        <v>1.2319115648638399</v>
      </c>
      <c r="I27" s="1">
        <v>1.21566400696663</v>
      </c>
      <c r="J27" s="1">
        <v>1.29601536845918</v>
      </c>
      <c r="K27" s="1">
        <v>1.2205774473097999</v>
      </c>
      <c r="L27" s="1">
        <v>1.0921333667100801</v>
      </c>
      <c r="M27" s="1">
        <v>1.2921479806500999</v>
      </c>
      <c r="N27" s="1">
        <v>1.1558026258407601</v>
      </c>
      <c r="O27" s="1">
        <v>1.2212321121759699</v>
      </c>
      <c r="P27" s="1">
        <v>1.1715675026388399</v>
      </c>
      <c r="Q27" s="1">
        <v>1.24867946999292</v>
      </c>
      <c r="R27" s="1">
        <v>1.2492292576816499</v>
      </c>
      <c r="S27" s="1">
        <v>1.23057524658571</v>
      </c>
      <c r="T27" s="1">
        <v>1.1995257968356601</v>
      </c>
      <c r="U27" s="1">
        <v>1.2790804788901</v>
      </c>
      <c r="V27" s="1">
        <v>1.2852582043734599</v>
      </c>
      <c r="W27" s="1">
        <v>1.07343208493847</v>
      </c>
      <c r="X27" s="1">
        <v>1.24681227603394</v>
      </c>
      <c r="Y27" s="1">
        <v>1.2295734930795501</v>
      </c>
      <c r="Z27" s="1">
        <v>1.2307360025839</v>
      </c>
      <c r="AA27" s="1">
        <v>1.2778102487148999</v>
      </c>
      <c r="AB27" s="1">
        <v>1.1925264472044399</v>
      </c>
      <c r="AC27" s="1">
        <v>1.2403181677561199</v>
      </c>
      <c r="AD27" s="1">
        <f>AVERAGE(C27:AC27)</f>
        <v>1.2284951021197974</v>
      </c>
      <c r="AE27" s="1">
        <f>_xlfn.STDEV.P(C27:AC27)</f>
        <v>5.6586250711119605E-2</v>
      </c>
      <c r="AF27" s="1">
        <f>AE27/AD27</f>
        <v>4.6061437781460171E-2</v>
      </c>
    </row>
    <row r="28" spans="1:32" ht="15" x14ac:dyDescent="0.15">
      <c r="A28" t="s">
        <v>4</v>
      </c>
      <c r="B28" s="4">
        <v>43324.413194444445</v>
      </c>
      <c r="C28" s="1">
        <v>1.3792187839972101</v>
      </c>
      <c r="D28" s="1">
        <v>1.4070236953551001</v>
      </c>
      <c r="E28" s="1">
        <v>1.3920122702158799</v>
      </c>
      <c r="F28" s="1">
        <v>1.3669903931042</v>
      </c>
      <c r="G28" s="1">
        <v>1.46181568292353</v>
      </c>
      <c r="H28" s="1">
        <v>1.4338055105960199</v>
      </c>
      <c r="I28" s="1">
        <v>1.3452932095235</v>
      </c>
      <c r="J28" s="1">
        <v>1.43373821667129</v>
      </c>
      <c r="K28" s="1">
        <v>1.3470525135687299</v>
      </c>
      <c r="L28" s="1">
        <v>1.23340895211749</v>
      </c>
      <c r="M28" s="1">
        <v>1.4550667722653601</v>
      </c>
      <c r="N28" s="1">
        <v>1.3856139784825601</v>
      </c>
      <c r="O28" s="1">
        <v>1.36272012405745</v>
      </c>
      <c r="P28" s="1">
        <v>1.47152859456786</v>
      </c>
      <c r="Q28" s="1">
        <v>1.33860754320075</v>
      </c>
      <c r="R28" s="1">
        <v>1.37276339334588</v>
      </c>
      <c r="S28" s="1">
        <v>1.43113999331464</v>
      </c>
      <c r="T28" s="1">
        <v>1.40282069536857</v>
      </c>
      <c r="U28" s="1">
        <v>1.41579613393587</v>
      </c>
      <c r="V28" s="1">
        <v>1.32619483334666</v>
      </c>
      <c r="W28" s="1">
        <v>1.39882649570782</v>
      </c>
      <c r="X28" s="1">
        <v>1.18597015328551</v>
      </c>
      <c r="Y28" s="1">
        <v>1.3987284425806601</v>
      </c>
      <c r="Z28" s="1">
        <v>1.4008938799795401</v>
      </c>
      <c r="AA28" s="1">
        <v>1.35014593555594</v>
      </c>
      <c r="AB28" s="1">
        <v>1.2923435797690499</v>
      </c>
      <c r="AC28" s="1">
        <v>1.42496372451333</v>
      </c>
      <c r="AD28" s="1">
        <f>AVERAGE(C28:AC28)</f>
        <v>1.3783142037537188</v>
      </c>
      <c r="AE28" s="1">
        <f>_xlfn.STDEV.P(C28:AC28)</f>
        <v>6.3837208912796525E-2</v>
      </c>
      <c r="AF28" s="1">
        <f>AE28/AD28</f>
        <v>4.6315425567654632E-2</v>
      </c>
    </row>
    <row r="29" spans="1:32" ht="15" x14ac:dyDescent="0.15">
      <c r="A29" t="s">
        <v>4</v>
      </c>
      <c r="B29" s="4">
        <v>43336.177083333336</v>
      </c>
      <c r="C29" s="1">
        <v>1.2613248717577199</v>
      </c>
      <c r="D29" s="1">
        <v>1.3348579921004999</v>
      </c>
      <c r="E29" s="1">
        <v>1.24358510174406</v>
      </c>
      <c r="F29" s="1">
        <v>1.3088310580561799</v>
      </c>
      <c r="G29" s="1">
        <v>1.2673554735380601</v>
      </c>
      <c r="H29" s="1">
        <v>1.3399973944930501</v>
      </c>
      <c r="I29" s="1">
        <v>1.2627279367011499</v>
      </c>
      <c r="J29" s="1">
        <v>1.1798560205003901</v>
      </c>
      <c r="K29" s="1">
        <v>1.38799208543203</v>
      </c>
      <c r="L29" s="1">
        <v>1.3277091699482599</v>
      </c>
      <c r="M29" s="1">
        <v>1.2236875091452299</v>
      </c>
      <c r="N29" s="1">
        <v>1.2965980249137701</v>
      </c>
      <c r="O29" s="1">
        <v>1.31605510214467</v>
      </c>
      <c r="P29" s="1">
        <v>1.25104036512749</v>
      </c>
      <c r="Q29" s="1">
        <v>1.4002111074485399</v>
      </c>
      <c r="R29" s="1">
        <v>1.2965559983894399</v>
      </c>
      <c r="S29" s="1">
        <v>1.27644915168619</v>
      </c>
      <c r="T29" s="1">
        <v>1.24825117887795</v>
      </c>
      <c r="U29" s="1">
        <v>1.3036642762497499</v>
      </c>
      <c r="V29" s="1">
        <v>1.3091846247174701</v>
      </c>
      <c r="W29" s="1">
        <v>1.3094426178006</v>
      </c>
      <c r="X29" s="1">
        <v>1.3089943496749099</v>
      </c>
      <c r="Y29" s="1">
        <v>1.29952391430346</v>
      </c>
      <c r="Z29" s="1">
        <v>1.2548757691674699</v>
      </c>
      <c r="AA29" s="1">
        <v>1.2956693794327501</v>
      </c>
      <c r="AB29" s="1">
        <v>1.2353538841987599</v>
      </c>
      <c r="AC29" s="1">
        <v>1.39582632588814</v>
      </c>
      <c r="AD29" s="1">
        <f>AVERAGE(C29:AC29)</f>
        <v>1.2939118771643701</v>
      </c>
      <c r="AE29" s="1">
        <f>_xlfn.STDEV.P(C29:AC29)</f>
        <v>5.0710462127217915E-2</v>
      </c>
      <c r="AF29" s="1">
        <f>AE29/AD29</f>
        <v>3.9191588718043735E-2</v>
      </c>
    </row>
    <row r="30" spans="1:32" ht="15" x14ac:dyDescent="0.15">
      <c r="A30" t="s">
        <v>4</v>
      </c>
      <c r="B30" s="4">
        <v>43346.201388888891</v>
      </c>
      <c r="C30" s="1">
        <v>1.6712892753819799</v>
      </c>
      <c r="D30" s="1">
        <v>1.55569479536327</v>
      </c>
      <c r="E30" s="1">
        <v>1.57242894465883</v>
      </c>
      <c r="F30" s="1">
        <v>1.4884818565954001</v>
      </c>
      <c r="G30" s="1">
        <v>1.5933509360668701</v>
      </c>
      <c r="H30" s="1">
        <v>1.51085498896669</v>
      </c>
      <c r="I30" s="1">
        <v>1.4894532579703399</v>
      </c>
      <c r="J30" s="1">
        <v>1.61436550190479</v>
      </c>
      <c r="K30" s="1">
        <v>1.4998504576213301</v>
      </c>
      <c r="L30" s="1">
        <v>1.5337594069496301</v>
      </c>
      <c r="M30" s="1">
        <v>1.52618831308173</v>
      </c>
      <c r="N30" s="1">
        <v>1.55687825190213</v>
      </c>
      <c r="O30" s="1">
        <v>1.53254716570196</v>
      </c>
      <c r="P30" s="1">
        <v>1.4925817611180401</v>
      </c>
      <c r="Q30" s="1">
        <v>1.50184916282378</v>
      </c>
      <c r="R30" s="1">
        <v>1.56795345893157</v>
      </c>
      <c r="S30" s="1">
        <v>1.63735866798844</v>
      </c>
      <c r="T30" s="1">
        <v>1.4769232125190099</v>
      </c>
      <c r="U30" s="1">
        <v>1.5896443552820001</v>
      </c>
      <c r="V30" s="1">
        <v>1.4998686809867801</v>
      </c>
      <c r="W30" s="1">
        <v>1.52615384417887</v>
      </c>
      <c r="X30" s="1">
        <v>1.4242186141067199</v>
      </c>
      <c r="Y30" s="1">
        <v>1.53318593763234</v>
      </c>
      <c r="Z30" s="1">
        <v>1.6196918614726901</v>
      </c>
      <c r="AA30" s="1">
        <v>1.51014601875167</v>
      </c>
      <c r="AB30" s="1">
        <v>1.5621281072319</v>
      </c>
      <c r="AC30" s="1">
        <v>1.56424364094138</v>
      </c>
      <c r="AD30" s="1">
        <f>AVERAGE(C30:AC30)</f>
        <v>1.5426329805974124</v>
      </c>
      <c r="AE30" s="1">
        <f>_xlfn.STDEV.P(C30:AC30)</f>
        <v>5.4073211533785977E-2</v>
      </c>
      <c r="AF30" s="1">
        <f>AE30/AD30</f>
        <v>3.5052544716660444E-2</v>
      </c>
    </row>
    <row r="31" spans="1:32" ht="15" x14ac:dyDescent="0.15">
      <c r="A31" t="s">
        <v>4</v>
      </c>
      <c r="B31" s="4">
        <v>43384.288194444445</v>
      </c>
      <c r="C31" s="1">
        <v>1.63398597834716</v>
      </c>
      <c r="D31" s="1">
        <v>1.45392629053211</v>
      </c>
      <c r="E31" s="1">
        <v>1.4475828240899</v>
      </c>
      <c r="F31" s="1">
        <v>1.4636118682683601</v>
      </c>
      <c r="G31" s="1">
        <v>1.4843063685857001</v>
      </c>
      <c r="H31" s="1">
        <v>1.43487472730166</v>
      </c>
      <c r="I31" s="1">
        <v>1.42236839006431</v>
      </c>
      <c r="J31" s="1">
        <v>1.5236883456257599</v>
      </c>
      <c r="K31" s="1">
        <v>1.3509684312533199</v>
      </c>
      <c r="L31" s="1">
        <v>1.39017411875013</v>
      </c>
      <c r="M31" s="1">
        <v>1.49595459320778</v>
      </c>
      <c r="N31" s="1">
        <v>1.4474710098421499</v>
      </c>
      <c r="O31" s="1">
        <v>1.40318021500595</v>
      </c>
      <c r="P31" s="1">
        <v>1.42315484259638</v>
      </c>
      <c r="Q31" s="1">
        <v>1.4204828528742399</v>
      </c>
      <c r="R31" s="1">
        <v>1.4602717011775701</v>
      </c>
      <c r="S31" s="1">
        <v>1.5460298509853201</v>
      </c>
      <c r="T31" s="1">
        <v>1.3797914204332</v>
      </c>
      <c r="U31" s="1">
        <v>1.48862741811514</v>
      </c>
      <c r="V31" s="1">
        <v>1.4560719174080801</v>
      </c>
      <c r="W31" s="1">
        <v>1.41181106600956</v>
      </c>
      <c r="X31" s="1">
        <v>1.35123993653809</v>
      </c>
      <c r="Y31" s="1">
        <v>1.4008179855012399</v>
      </c>
      <c r="Z31" s="1">
        <v>1.41282049748929</v>
      </c>
      <c r="AA31" s="1">
        <v>1.39882241310112</v>
      </c>
      <c r="AB31" s="1">
        <v>1.5094946482807901</v>
      </c>
      <c r="AC31" s="1">
        <v>1.44914381809418</v>
      </c>
      <c r="AD31" s="1">
        <f>AVERAGE(C31:AC31)</f>
        <v>1.4466916122029074</v>
      </c>
      <c r="AE31" s="1">
        <f>_xlfn.STDEV.P(C31:AC31)</f>
        <v>6.0125705238824038E-2</v>
      </c>
      <c r="AF31" s="1">
        <f>AE31/AD31</f>
        <v>4.156083074765974E-2</v>
      </c>
    </row>
    <row r="32" spans="1:32" ht="15" x14ac:dyDescent="0.15">
      <c r="A32" t="s">
        <v>4</v>
      </c>
      <c r="B32" s="4">
        <v>43587.746527777781</v>
      </c>
      <c r="C32" s="1">
        <v>1.57315087551795</v>
      </c>
      <c r="D32" s="1">
        <v>1.4366257833843299</v>
      </c>
      <c r="E32" s="1">
        <v>1.47374300491606</v>
      </c>
      <c r="F32" s="1">
        <v>1.4052375991353701</v>
      </c>
      <c r="G32" s="1">
        <v>1.5422019443413999</v>
      </c>
      <c r="H32" s="1">
        <v>1.4138667903270099</v>
      </c>
      <c r="I32" s="1">
        <v>1.41325173197662</v>
      </c>
      <c r="J32" s="1">
        <v>1.48787339142833</v>
      </c>
      <c r="K32" s="1">
        <v>1.4459131745349101</v>
      </c>
      <c r="L32" s="1">
        <v>1.4828512054670799</v>
      </c>
      <c r="M32" s="1">
        <v>1.4792112636478001</v>
      </c>
      <c r="N32" s="1">
        <v>1.4325261809946801</v>
      </c>
      <c r="O32" s="1">
        <v>1.40135185844282</v>
      </c>
      <c r="P32" s="1">
        <v>1.3259897668220599</v>
      </c>
      <c r="Q32" s="1">
        <v>1.37408681862353</v>
      </c>
      <c r="R32" s="1">
        <v>1.4560106627308</v>
      </c>
      <c r="S32" s="1">
        <v>1.5417422461052199</v>
      </c>
      <c r="T32" s="1">
        <v>1.3753631397805399</v>
      </c>
      <c r="U32" s="1">
        <v>1.51804662829506</v>
      </c>
      <c r="V32" s="1">
        <v>1.3951087482316999</v>
      </c>
      <c r="W32" s="1">
        <v>1.42315332339389</v>
      </c>
      <c r="X32" s="1">
        <v>1.3569485957715599</v>
      </c>
      <c r="Y32" s="1">
        <v>1.4128409100894499</v>
      </c>
      <c r="Z32" s="1">
        <v>1.5148532025624599</v>
      </c>
      <c r="AA32" s="1">
        <v>1.4398347430926699</v>
      </c>
      <c r="AB32" s="1">
        <v>1.5557705400499899</v>
      </c>
      <c r="AC32" s="1">
        <v>1.4033503438805199</v>
      </c>
      <c r="AD32" s="1">
        <f>AVERAGE(C32:AC32)</f>
        <v>1.4474409064275486</v>
      </c>
      <c r="AE32" s="1">
        <f>_xlfn.STDEV.P(C32:AC32)</f>
        <v>6.2713205964307739E-2</v>
      </c>
      <c r="AF32" s="1">
        <f>AE32/AD32</f>
        <v>4.3326954272068473E-2</v>
      </c>
    </row>
    <row r="33" spans="1:32" ht="15" x14ac:dyDescent="0.15">
      <c r="A33" t="s">
        <v>4</v>
      </c>
      <c r="B33" s="4">
        <v>43592.670138888891</v>
      </c>
      <c r="C33" s="1">
        <v>1.65429661785639</v>
      </c>
      <c r="D33" s="1">
        <v>1.5492294622529601</v>
      </c>
      <c r="E33" s="1">
        <v>1.4249838098932199</v>
      </c>
      <c r="F33" s="1">
        <v>1.4976886488283701</v>
      </c>
      <c r="G33" s="1">
        <v>1.51314909948982</v>
      </c>
      <c r="H33" s="1">
        <v>1.4843550012750499</v>
      </c>
      <c r="I33" s="1">
        <v>1.4579545348248499</v>
      </c>
      <c r="J33" s="1">
        <v>1.5126538587401399</v>
      </c>
      <c r="K33" s="1">
        <v>1.4565123789346399</v>
      </c>
      <c r="L33" s="1">
        <v>1.46107049638011</v>
      </c>
      <c r="M33" s="1">
        <v>1.52376473318157</v>
      </c>
      <c r="N33" s="1">
        <v>1.4495833800528299</v>
      </c>
      <c r="O33" s="1">
        <v>1.4648226622325</v>
      </c>
      <c r="P33" s="1">
        <v>1.35915180321734</v>
      </c>
      <c r="Q33" s="1">
        <v>1.4811682571126199</v>
      </c>
      <c r="R33" s="1">
        <v>1.4809791462933699</v>
      </c>
      <c r="S33" s="1">
        <v>1.53662631007967</v>
      </c>
      <c r="T33" s="1">
        <v>1.38071161276434</v>
      </c>
      <c r="U33" s="1">
        <v>1.49424305007847</v>
      </c>
      <c r="V33" s="1">
        <v>1.42739960254416</v>
      </c>
      <c r="W33" s="1">
        <v>1.4644662774771999</v>
      </c>
      <c r="X33" s="1">
        <v>1.4097778755460499</v>
      </c>
      <c r="Y33" s="1">
        <v>1.42025444569318</v>
      </c>
      <c r="Z33" s="1">
        <v>1.48788431181583</v>
      </c>
      <c r="AA33" s="1">
        <v>1.5283439922138</v>
      </c>
      <c r="AB33" s="1">
        <v>1.4577284673863999</v>
      </c>
      <c r="AC33" s="1">
        <v>1.5359853798081999</v>
      </c>
      <c r="AD33" s="1">
        <f>AVERAGE(C33:AC33)</f>
        <v>1.4783253783693737</v>
      </c>
      <c r="AE33" s="1">
        <f>_xlfn.STDEV.P(C33:AC33)</f>
        <v>5.7895057537391215E-2</v>
      </c>
      <c r="AF33" s="1">
        <f>AE33/AD33</f>
        <v>3.9162594638841128E-2</v>
      </c>
    </row>
    <row r="34" spans="1:32" ht="15" x14ac:dyDescent="0.15">
      <c r="A34" t="s">
        <v>4</v>
      </c>
      <c r="B34" s="4">
        <v>43635.201388888891</v>
      </c>
      <c r="C34" s="1">
        <v>1.07377274210205</v>
      </c>
      <c r="D34" s="1">
        <v>1.1313519702488699</v>
      </c>
      <c r="E34" s="1">
        <v>1.14724969394767</v>
      </c>
      <c r="F34" s="1">
        <v>1.1546227737752801</v>
      </c>
      <c r="G34" s="1">
        <v>1.1164456611909701</v>
      </c>
      <c r="H34" s="1">
        <v>1.2223148711312799</v>
      </c>
      <c r="I34" s="1">
        <v>1.2115994222164099</v>
      </c>
      <c r="J34" s="1">
        <v>1.08721042518817</v>
      </c>
      <c r="K34" s="1">
        <v>1.12461625464315</v>
      </c>
      <c r="L34" s="1">
        <v>1.11921452876575</v>
      </c>
      <c r="M34" s="1">
        <v>1.11477729133248</v>
      </c>
      <c r="N34" s="1">
        <v>1.1285815526891101</v>
      </c>
      <c r="O34" s="1">
        <v>1.11563367962414</v>
      </c>
      <c r="P34" s="1">
        <v>1.1009058954695801</v>
      </c>
      <c r="Q34" s="1">
        <v>1.13789845751913</v>
      </c>
      <c r="R34" s="1">
        <v>1.1444903409354601</v>
      </c>
      <c r="S34" s="1">
        <v>1.1524313557097301</v>
      </c>
      <c r="T34" s="1">
        <v>1.1466327275644299</v>
      </c>
      <c r="U34" s="1">
        <v>1.0987337436375899</v>
      </c>
      <c r="V34" s="1">
        <v>1.10275940461863</v>
      </c>
      <c r="W34" s="1">
        <v>1.1039414913176799</v>
      </c>
      <c r="X34" s="1">
        <v>1.1232035700312899</v>
      </c>
      <c r="Y34" s="1">
        <v>1.1695885523587699</v>
      </c>
      <c r="Z34" s="1">
        <v>1.1628479874316899</v>
      </c>
      <c r="AA34" s="1">
        <v>1.09626062875069</v>
      </c>
      <c r="AB34" s="1">
        <v>1.16549782501684</v>
      </c>
      <c r="AC34" s="1">
        <v>1.2280507740437401</v>
      </c>
      <c r="AD34" s="1">
        <f>AVERAGE(C34:AC34)</f>
        <v>1.1363197637503921</v>
      </c>
      <c r="AE34" s="1">
        <f>_xlfn.STDEV.P(C34:AC34)</f>
        <v>3.8379950404170853E-2</v>
      </c>
      <c r="AF34" s="1">
        <f>AE34/AD34</f>
        <v>3.3775660362976426E-2</v>
      </c>
    </row>
    <row r="35" spans="1:32" ht="15" x14ac:dyDescent="0.15">
      <c r="A35" t="s">
        <v>4</v>
      </c>
      <c r="B35" s="4">
        <v>43636.871527777781</v>
      </c>
      <c r="C35" s="1">
        <v>0.80857409141062497</v>
      </c>
      <c r="D35" s="1">
        <v>1.0004913004756799</v>
      </c>
      <c r="E35" s="1">
        <v>1.00328814275968</v>
      </c>
      <c r="F35" s="1">
        <v>0.88272524016352905</v>
      </c>
      <c r="G35" s="1">
        <v>0.84567552763302301</v>
      </c>
      <c r="H35" s="1">
        <v>0.97111357376875396</v>
      </c>
      <c r="I35" s="1">
        <v>0.84678583576133504</v>
      </c>
      <c r="J35" s="1">
        <v>0.91619083643988097</v>
      </c>
      <c r="K35" s="1">
        <v>0.87770233110201401</v>
      </c>
      <c r="L35" s="1">
        <v>0.99567030701162595</v>
      </c>
      <c r="M35" s="1">
        <v>1.06805361120015</v>
      </c>
      <c r="N35" s="1">
        <v>0.99918383732497296</v>
      </c>
      <c r="O35" s="1">
        <v>0.89627486450413496</v>
      </c>
      <c r="P35" s="1">
        <v>0.94128737991734801</v>
      </c>
      <c r="Q35" s="1">
        <v>0.96957837736298502</v>
      </c>
      <c r="R35" s="1">
        <v>0.98331783436058195</v>
      </c>
      <c r="S35" s="1">
        <v>0.97961495018165201</v>
      </c>
      <c r="T35" s="1">
        <v>0.93144508227881695</v>
      </c>
      <c r="U35" s="1">
        <v>0.97398548105474003</v>
      </c>
      <c r="V35" s="1">
        <v>1.0409134032973699</v>
      </c>
      <c r="W35" s="1">
        <v>0.85217545227997804</v>
      </c>
      <c r="X35" s="1">
        <v>0.96589801254593599</v>
      </c>
      <c r="Y35" s="1">
        <v>0.92066562505205396</v>
      </c>
      <c r="Z35" s="1">
        <v>0.93479756081006204</v>
      </c>
      <c r="AA35" s="1">
        <v>0.94223224830222196</v>
      </c>
      <c r="AB35" s="1">
        <v>1.1195418802081001</v>
      </c>
      <c r="AC35" s="1">
        <v>1.17859641411334</v>
      </c>
      <c r="AD35" s="1">
        <f>AVERAGE(C35:AC35)</f>
        <v>0.95725108153039218</v>
      </c>
      <c r="AE35" s="1">
        <f>_xlfn.STDEV.P(C35:AC35)</f>
        <v>8.2053120059381271E-2</v>
      </c>
      <c r="AF35" s="1">
        <f>AE35/AD35</f>
        <v>8.571744826675981E-2</v>
      </c>
    </row>
    <row r="36" spans="1:32" ht="15" x14ac:dyDescent="0.15">
      <c r="A36" t="s">
        <v>4</v>
      </c>
      <c r="B36" s="4">
        <v>43639.354166666664</v>
      </c>
      <c r="C36" s="1">
        <v>1.51985390416847</v>
      </c>
      <c r="D36" s="1">
        <v>1.40570454118219</v>
      </c>
      <c r="E36" s="1">
        <v>1.3585010970009499</v>
      </c>
      <c r="F36" s="1">
        <v>1.43774637100803</v>
      </c>
      <c r="G36" s="1">
        <v>1.47240994023021</v>
      </c>
      <c r="H36" s="1">
        <v>1.3917154160464</v>
      </c>
      <c r="I36" s="1">
        <v>1.37458259137619</v>
      </c>
      <c r="J36" s="1">
        <v>1.4703028770470701</v>
      </c>
      <c r="K36" s="1">
        <v>1.2890367244272301</v>
      </c>
      <c r="L36" s="1">
        <v>1.4049210363589399</v>
      </c>
      <c r="M36" s="1">
        <v>1.4563471805938399</v>
      </c>
      <c r="N36" s="1">
        <v>1.3655929976524199</v>
      </c>
      <c r="O36" s="1">
        <v>1.31053697738631</v>
      </c>
      <c r="P36" s="1">
        <v>1.27471703843802</v>
      </c>
      <c r="Q36" s="1">
        <v>1.36844296271296</v>
      </c>
      <c r="R36" s="1">
        <v>1.4260111666255599</v>
      </c>
      <c r="S36" s="1">
        <v>1.45020103736176</v>
      </c>
      <c r="T36" s="1">
        <v>1.3277697716216701</v>
      </c>
      <c r="U36" s="1">
        <v>1.41394488912081</v>
      </c>
      <c r="V36" s="1">
        <v>1.4387507490434199</v>
      </c>
      <c r="W36" s="1">
        <v>1.33119522918892</v>
      </c>
      <c r="X36" s="1">
        <v>1.3854158011598301</v>
      </c>
      <c r="Y36" s="1">
        <v>1.3235515081439699</v>
      </c>
      <c r="Z36" s="1">
        <v>1.3772612703676601</v>
      </c>
      <c r="AA36" s="1">
        <v>1.37071899085244</v>
      </c>
      <c r="AB36" s="1">
        <v>1.4170941877182599</v>
      </c>
      <c r="AC36" s="1">
        <v>1.4061912085711801</v>
      </c>
      <c r="AD36" s="1">
        <f>AVERAGE(C36:AC36)</f>
        <v>1.3914265727927673</v>
      </c>
      <c r="AE36" s="1">
        <f>_xlfn.STDEV.P(C36:AC36)</f>
        <v>5.7881610104376917E-2</v>
      </c>
      <c r="AF36" s="1">
        <f>AE36/AD36</f>
        <v>4.1598752845578679E-2</v>
      </c>
    </row>
    <row r="37" spans="1:32" ht="15" x14ac:dyDescent="0.15">
      <c r="A37" t="s">
        <v>4</v>
      </c>
      <c r="B37" s="4">
        <v>43649.704861111109</v>
      </c>
      <c r="C37" s="1">
        <v>1.0966309909832199</v>
      </c>
      <c r="D37" s="1">
        <v>1.0299740850296</v>
      </c>
      <c r="E37" s="1">
        <v>1.0334961272191501</v>
      </c>
      <c r="F37" s="1">
        <v>0.96420724702057203</v>
      </c>
      <c r="G37" s="1">
        <v>0.99737540569653604</v>
      </c>
      <c r="H37" s="1">
        <v>1.0600088685518201</v>
      </c>
      <c r="I37" s="1">
        <v>1.0126036028690999</v>
      </c>
      <c r="J37" s="1">
        <v>1.0406899020256699</v>
      </c>
      <c r="K37" s="1">
        <v>1.0222403066782999</v>
      </c>
      <c r="L37" s="1">
        <v>1.0022248376957501</v>
      </c>
      <c r="M37" s="1">
        <v>0.98106723973667498</v>
      </c>
      <c r="N37" s="1">
        <v>1.10931616979787</v>
      </c>
      <c r="O37" s="1">
        <v>1.0576815319805799</v>
      </c>
      <c r="P37" s="1">
        <v>1.0681371986886099</v>
      </c>
      <c r="Q37" s="1">
        <v>1.0802519508228401</v>
      </c>
      <c r="R37" s="1">
        <v>1.0161512044777501</v>
      </c>
      <c r="S37" s="1">
        <v>1.02283437568119</v>
      </c>
      <c r="T37" s="1">
        <v>0.99674949847371996</v>
      </c>
      <c r="U37" s="1">
        <v>1.0548720532934299</v>
      </c>
      <c r="V37" s="1">
        <v>0.995144944920201</v>
      </c>
      <c r="W37" s="1">
        <v>0.93671711634173305</v>
      </c>
      <c r="X37" s="1">
        <v>1.0005786039594999</v>
      </c>
      <c r="Y37" s="1">
        <v>0.99606110336771703</v>
      </c>
      <c r="Z37" s="1">
        <v>1.0506140045280501</v>
      </c>
      <c r="AA37" s="1">
        <v>0.97640907109125696</v>
      </c>
      <c r="AB37" s="1">
        <v>1.14552068801989</v>
      </c>
      <c r="AC37" s="1">
        <v>1.12635076522057</v>
      </c>
      <c r="AD37" s="1">
        <f>AVERAGE(C37:AC37)</f>
        <v>1.0323669960804183</v>
      </c>
      <c r="AE37" s="1">
        <f>_xlfn.STDEV.P(C37:AC37)</f>
        <v>4.9103465449791071E-2</v>
      </c>
      <c r="AF37" s="1">
        <f>AE37/AD37</f>
        <v>4.7563962850635397E-2</v>
      </c>
    </row>
    <row r="38" spans="1:32" ht="15" x14ac:dyDescent="0.15">
      <c r="A38" t="s">
        <v>4</v>
      </c>
      <c r="B38" s="4">
        <v>43655.982638888891</v>
      </c>
      <c r="C38" s="1">
        <v>1.5595395877737399</v>
      </c>
      <c r="D38" s="1">
        <v>1.4918519848545599</v>
      </c>
      <c r="E38" s="1">
        <v>1.47721675660705</v>
      </c>
      <c r="F38" s="1">
        <v>1.46878029777217</v>
      </c>
      <c r="G38" s="1">
        <v>1.54328725580742</v>
      </c>
      <c r="H38" s="1">
        <v>1.5079988214600699</v>
      </c>
      <c r="I38" s="1">
        <v>1.40647198660994</v>
      </c>
      <c r="J38" s="1">
        <v>1.5666178307713401</v>
      </c>
      <c r="K38" s="1">
        <v>1.4948795569700699</v>
      </c>
      <c r="L38" s="1">
        <v>1.46947504149915</v>
      </c>
      <c r="M38" s="1">
        <v>1.5065978193556699</v>
      </c>
      <c r="N38" s="1">
        <v>1.46169436210388</v>
      </c>
      <c r="O38" s="1">
        <v>1.46513336586119</v>
      </c>
      <c r="P38" s="1">
        <v>1.3990991373397901</v>
      </c>
      <c r="Q38" s="1">
        <v>1.4425778419089501</v>
      </c>
      <c r="R38" s="1">
        <v>1.43867847446405</v>
      </c>
      <c r="S38" s="1">
        <v>1.4989470680214501</v>
      </c>
      <c r="T38" s="1">
        <v>1.3960250880452201</v>
      </c>
      <c r="U38" s="1">
        <v>1.46883106701912</v>
      </c>
      <c r="V38" s="1">
        <v>1.43127964529431</v>
      </c>
      <c r="W38" s="1">
        <v>1.4616964337510201</v>
      </c>
      <c r="X38" s="1">
        <v>1.33995864161169</v>
      </c>
      <c r="Y38" s="1">
        <v>1.4523237923608401</v>
      </c>
      <c r="Z38" s="1">
        <v>1.4670957949677601</v>
      </c>
      <c r="AA38" s="1">
        <v>1.4524402188163701</v>
      </c>
      <c r="AB38" s="1">
        <v>1.5636622300855001</v>
      </c>
      <c r="AC38" s="1">
        <v>1.4661168217998199</v>
      </c>
      <c r="AD38" s="1">
        <f>AVERAGE(C38:AC38)</f>
        <v>1.4703065527011907</v>
      </c>
      <c r="AE38" s="1">
        <f>_xlfn.STDEV.P(C38:AC38)</f>
        <v>5.1550185489895067E-2</v>
      </c>
      <c r="AF38" s="1">
        <f>AE38/AD38</f>
        <v>3.5060841832738249E-2</v>
      </c>
    </row>
    <row r="39" spans="1:32" ht="15" x14ac:dyDescent="0.15">
      <c r="A39" t="s">
        <v>4</v>
      </c>
      <c r="B39" s="4">
        <v>43664.604166666664</v>
      </c>
      <c r="C39" s="1">
        <v>1.3615425137685999</v>
      </c>
      <c r="D39" s="1">
        <v>1.4383296343782199</v>
      </c>
      <c r="E39" s="1">
        <v>1.4047127499595999</v>
      </c>
      <c r="F39" s="1">
        <v>1.46647869377114</v>
      </c>
      <c r="G39" s="1">
        <v>1.43070436307789</v>
      </c>
      <c r="H39" s="1">
        <v>1.42602003077044</v>
      </c>
      <c r="I39" s="1">
        <v>1.4087138692427501</v>
      </c>
      <c r="J39" s="1">
        <v>1.4602840271490101</v>
      </c>
      <c r="K39" s="1">
        <v>1.47562285463509</v>
      </c>
      <c r="L39" s="1">
        <v>1.2059875383199501</v>
      </c>
      <c r="M39" s="1">
        <v>1.5277848302508701</v>
      </c>
      <c r="N39" s="1">
        <v>1.3774020312025299</v>
      </c>
      <c r="O39" s="1">
        <v>1.3950589424420501</v>
      </c>
      <c r="P39" s="1">
        <v>1.36797491925737</v>
      </c>
      <c r="Q39" s="1">
        <v>1.49482003167975</v>
      </c>
      <c r="R39" s="1">
        <v>1.43126944948805</v>
      </c>
      <c r="S39" s="1">
        <v>1.38381593988761</v>
      </c>
      <c r="T39" s="1">
        <v>1.3585282683190001</v>
      </c>
      <c r="U39" s="1">
        <v>1.3724662536982699</v>
      </c>
      <c r="V39" s="1">
        <v>1.39910994065367</v>
      </c>
      <c r="W39" s="1">
        <v>1.3331533537898199</v>
      </c>
      <c r="X39" s="1">
        <v>1.35947546279625</v>
      </c>
      <c r="Y39" s="1">
        <v>1.5029736773703199</v>
      </c>
      <c r="Z39" s="1">
        <v>1.3438012335224501</v>
      </c>
      <c r="AA39" s="1">
        <v>1.49112196378687</v>
      </c>
      <c r="AB39" s="1">
        <v>1.2709889275013599</v>
      </c>
      <c r="AC39" s="1">
        <v>1.41200819502792</v>
      </c>
      <c r="AD39" s="1">
        <f>AVERAGE(C39:AC39)</f>
        <v>1.4037092479906237</v>
      </c>
      <c r="AE39" s="1">
        <f>_xlfn.STDEV.P(C39:AC39)</f>
        <v>6.9727162925710517E-2</v>
      </c>
      <c r="AF39" s="1">
        <f>AE39/AD39</f>
        <v>4.9673508260719437E-2</v>
      </c>
    </row>
    <row r="40" spans="1:32" ht="15" x14ac:dyDescent="0.15">
      <c r="A40" t="s">
        <v>4</v>
      </c>
      <c r="B40" s="4">
        <v>43683.635416666664</v>
      </c>
      <c r="C40" s="1">
        <v>1.6990076396587399</v>
      </c>
      <c r="D40" s="1">
        <v>1.6951352098577199</v>
      </c>
      <c r="E40" s="1">
        <v>1.5563597137740699</v>
      </c>
      <c r="F40" s="1">
        <v>1.5519653728748199</v>
      </c>
      <c r="G40" s="1">
        <v>1.6401044942426799</v>
      </c>
      <c r="H40" s="1">
        <v>1.5617011207798199</v>
      </c>
      <c r="I40" s="1">
        <v>1.57998424728676</v>
      </c>
      <c r="J40" s="1">
        <v>1.7024510339266901</v>
      </c>
      <c r="K40" s="1">
        <v>1.63463987694154</v>
      </c>
      <c r="L40" s="1">
        <v>1.5390332320394799</v>
      </c>
      <c r="M40" s="1">
        <v>1.64341072139559</v>
      </c>
      <c r="N40" s="1">
        <v>1.58910064405136</v>
      </c>
      <c r="O40" s="1">
        <v>1.60657915505469</v>
      </c>
      <c r="P40" s="1">
        <v>1.50830369476214</v>
      </c>
      <c r="Q40" s="1">
        <v>1.6143324845104501</v>
      </c>
      <c r="R40" s="1">
        <v>1.5115989132313601</v>
      </c>
      <c r="S40" s="1">
        <v>1.6455905678982901</v>
      </c>
      <c r="T40" s="1">
        <v>1.49043636186567</v>
      </c>
      <c r="U40" s="1">
        <v>1.65302933773203</v>
      </c>
      <c r="V40" s="1">
        <v>1.60942287810131</v>
      </c>
      <c r="W40" s="1">
        <v>1.49385736033418</v>
      </c>
      <c r="X40" s="1">
        <v>1.53160503334779</v>
      </c>
      <c r="Y40" s="1">
        <v>1.5703170793721899</v>
      </c>
      <c r="Z40" s="1">
        <v>1.5456870773581</v>
      </c>
      <c r="AA40" s="1">
        <v>1.6332320753751199</v>
      </c>
      <c r="AB40" s="1">
        <v>1.56725687754698</v>
      </c>
      <c r="AC40" s="1">
        <v>1.59253323225813</v>
      </c>
      <c r="AD40" s="1">
        <f>AVERAGE(C40:AC40)</f>
        <v>1.5913583494658405</v>
      </c>
      <c r="AE40" s="1">
        <f>_xlfn.STDEV.P(C40:AC40)</f>
        <v>6.0062770736604092E-2</v>
      </c>
      <c r="AF40" s="1">
        <f>AE40/AD40</f>
        <v>3.7743083295327488E-2</v>
      </c>
    </row>
    <row r="41" spans="1:32" ht="15" x14ac:dyDescent="0.15">
      <c r="A41" t="s">
        <v>4</v>
      </c>
      <c r="B41" s="4">
        <v>43699.8125</v>
      </c>
      <c r="C41" s="1">
        <v>1.3533589135772801</v>
      </c>
      <c r="D41" s="1">
        <v>1.2955416537587201</v>
      </c>
      <c r="E41" s="1">
        <v>1.29181002562398</v>
      </c>
      <c r="F41" s="1">
        <v>1.31884222004125</v>
      </c>
      <c r="G41" s="1">
        <v>1.3439363060996701</v>
      </c>
      <c r="H41" s="1">
        <v>1.3063908433462801</v>
      </c>
      <c r="I41" s="1">
        <v>1.32024945863359</v>
      </c>
      <c r="J41" s="1">
        <v>1.24653746071659</v>
      </c>
      <c r="K41" s="1">
        <v>1.22364038646068</v>
      </c>
      <c r="L41" s="1">
        <v>1.1351350768025299</v>
      </c>
      <c r="M41" s="1">
        <v>1.3388755242280099</v>
      </c>
      <c r="N41" s="1">
        <v>1.2283303449131699</v>
      </c>
      <c r="O41" s="1">
        <v>1.2055183035677399</v>
      </c>
      <c r="P41" s="1">
        <v>1.32320015432619</v>
      </c>
      <c r="Q41" s="1">
        <v>1.27561227543786</v>
      </c>
      <c r="R41" s="1">
        <v>1.26646049904823</v>
      </c>
      <c r="S41" s="1">
        <v>1.32269620211823</v>
      </c>
      <c r="T41" s="1">
        <v>1.30604552304625</v>
      </c>
      <c r="U41" s="1">
        <v>1.3042071571129099</v>
      </c>
      <c r="V41" s="1">
        <v>1.3006691250240601</v>
      </c>
      <c r="W41" s="1">
        <v>1.2543010876703999</v>
      </c>
      <c r="X41" s="1">
        <v>1.24467426768806</v>
      </c>
      <c r="Y41" s="1">
        <v>1.3098157444060801</v>
      </c>
      <c r="Z41" s="1">
        <v>1.2650419120046701</v>
      </c>
      <c r="AA41" s="1">
        <v>1.2751000819571101</v>
      </c>
      <c r="AB41" s="1">
        <v>1.3038123045583601</v>
      </c>
      <c r="AC41" s="1">
        <v>1.2709208171302999</v>
      </c>
      <c r="AD41" s="1">
        <f>AVERAGE(C41:AC41)</f>
        <v>1.2826193951591931</v>
      </c>
      <c r="AE41" s="1">
        <f>_xlfn.STDEV.P(C41:AC41)</f>
        <v>4.7035781302050647E-2</v>
      </c>
      <c r="AF41" s="1">
        <f>AE41/AD41</f>
        <v>3.6671659168394821E-2</v>
      </c>
    </row>
    <row r="42" spans="1:32" ht="15" x14ac:dyDescent="0.15">
      <c r="A42" t="s">
        <v>4</v>
      </c>
      <c r="B42" s="4">
        <v>43717.454861111109</v>
      </c>
      <c r="C42" s="1">
        <v>0.95409455003545096</v>
      </c>
      <c r="D42" s="1">
        <v>0.95221573220297695</v>
      </c>
      <c r="E42" s="1">
        <v>0.97966840949172695</v>
      </c>
      <c r="F42" s="1">
        <v>0.95462696861167395</v>
      </c>
      <c r="G42" s="1">
        <v>0.98267006568145499</v>
      </c>
      <c r="H42" s="1">
        <v>0.96655615875548895</v>
      </c>
      <c r="I42" s="1">
        <v>0.98917684938919803</v>
      </c>
      <c r="J42" s="1">
        <v>0.97840427125186402</v>
      </c>
      <c r="K42" s="1">
        <v>0.98258093552380898</v>
      </c>
      <c r="L42" s="1">
        <v>0.98447081191261498</v>
      </c>
      <c r="M42" s="1">
        <v>0.963530223135869</v>
      </c>
      <c r="N42" s="1">
        <v>0.98008623395638705</v>
      </c>
      <c r="O42" s="1">
        <v>0.97753317431904097</v>
      </c>
      <c r="P42" s="1">
        <v>0.96988092343916299</v>
      </c>
      <c r="Q42" s="1">
        <v>0.91661468062114304</v>
      </c>
      <c r="R42" s="1">
        <v>0.95427948454859002</v>
      </c>
      <c r="S42" s="1">
        <v>0.93965888851357504</v>
      </c>
      <c r="T42" s="1">
        <v>0.93349826533195601</v>
      </c>
      <c r="U42" s="1">
        <v>1.00509411340864</v>
      </c>
      <c r="V42" s="1">
        <v>0.92987400845730395</v>
      </c>
      <c r="W42" s="1">
        <v>0.97866415762764902</v>
      </c>
      <c r="X42" s="1">
        <v>0.920608703809211</v>
      </c>
      <c r="Y42" s="1">
        <v>0.94425881943238599</v>
      </c>
      <c r="Z42" s="1">
        <v>0.95773266807695701</v>
      </c>
      <c r="AA42" s="1">
        <v>0.992815088420128</v>
      </c>
      <c r="AB42" s="1">
        <v>1.0181559902956301</v>
      </c>
      <c r="AC42" s="1">
        <v>0.93230914079981297</v>
      </c>
      <c r="AD42" s="1">
        <f>AVERAGE(C42:AC42)</f>
        <v>0.96440960433517375</v>
      </c>
      <c r="AE42" s="1">
        <f>_xlfn.STDEV.P(C42:AC42)</f>
        <v>2.5102482995522004E-2</v>
      </c>
      <c r="AF42" s="1">
        <f>AE42/AD42</f>
        <v>2.6028860437185997E-2</v>
      </c>
    </row>
    <row r="43" spans="1:32" ht="15" x14ac:dyDescent="0.15">
      <c r="A43" t="s">
        <v>5</v>
      </c>
      <c r="B43" s="4">
        <v>43291.239583333336</v>
      </c>
      <c r="C43" s="1">
        <v>1.3945245666951001</v>
      </c>
      <c r="D43" s="1">
        <v>1.3529045194237601</v>
      </c>
      <c r="E43" s="1">
        <v>1.3895262128452299</v>
      </c>
      <c r="F43" s="1">
        <v>1.3026981220824001</v>
      </c>
      <c r="G43" s="1">
        <v>1.4008524525711801</v>
      </c>
      <c r="H43" s="1">
        <v>1.28238804430001</v>
      </c>
      <c r="I43" s="1">
        <v>1.3893467810759199</v>
      </c>
      <c r="J43" s="1">
        <v>1.3973252840184001</v>
      </c>
      <c r="K43" s="1">
        <v>1.3186542223071001</v>
      </c>
      <c r="L43" s="1">
        <v>1.2648609362449901</v>
      </c>
      <c r="M43" s="1">
        <v>1.4006179111507799</v>
      </c>
      <c r="N43" s="1">
        <v>1.39484708870108</v>
      </c>
      <c r="O43" s="1">
        <v>1.28688757115867</v>
      </c>
      <c r="P43" s="1">
        <v>1.4733307245588501</v>
      </c>
      <c r="Q43" s="1">
        <v>1.40740148402836</v>
      </c>
      <c r="R43" s="1">
        <v>1.3168301053060301</v>
      </c>
      <c r="S43" s="1">
        <v>1.4132435114170301</v>
      </c>
      <c r="T43" s="1">
        <v>1.3824529562777701</v>
      </c>
      <c r="U43" s="1">
        <v>1.2730911848652999</v>
      </c>
      <c r="V43" s="1">
        <v>1.3025270724821301</v>
      </c>
      <c r="W43" s="1">
        <v>1.25212019021017</v>
      </c>
      <c r="X43" s="1">
        <v>1.3126547010049201</v>
      </c>
      <c r="Y43" s="1">
        <v>1.35847133625676</v>
      </c>
      <c r="Z43" s="1">
        <v>1.3302408247506801</v>
      </c>
      <c r="AA43" s="1">
        <v>1.3124926557072301</v>
      </c>
      <c r="AB43" s="1">
        <v>1.25206428008099</v>
      </c>
      <c r="AC43" s="1">
        <v>1.32086536065144</v>
      </c>
      <c r="AD43" s="1">
        <f>AVERAGE(C43:AC43)</f>
        <v>1.3438229666730475</v>
      </c>
      <c r="AE43" s="1">
        <f>_xlfn.STDEV.P(C43:AC43)</f>
        <v>5.7285852309260747E-2</v>
      </c>
      <c r="AF43" s="1">
        <f>AE43/AD43</f>
        <v>4.2629017162197684E-2</v>
      </c>
    </row>
    <row r="44" spans="1:32" ht="15" x14ac:dyDescent="0.15">
      <c r="A44" t="s">
        <v>5</v>
      </c>
      <c r="B44" s="4">
        <v>43307.482638888891</v>
      </c>
      <c r="C44" s="1">
        <v>1.1437980411744699</v>
      </c>
      <c r="D44" s="1">
        <v>1.09580750792194</v>
      </c>
      <c r="E44" s="1">
        <v>1.1706561553807799</v>
      </c>
      <c r="F44" s="1">
        <v>1.1026240394209299</v>
      </c>
      <c r="G44" s="1">
        <v>1.2111223397928299</v>
      </c>
      <c r="H44" s="1">
        <v>1.1747974263257199</v>
      </c>
      <c r="I44" s="1">
        <v>1.2681248942457499</v>
      </c>
      <c r="J44" s="1">
        <v>1.1214904648194599</v>
      </c>
      <c r="K44" s="1">
        <v>1.1440623936474299</v>
      </c>
      <c r="L44" s="1">
        <v>1.30910302410482</v>
      </c>
      <c r="M44" s="1">
        <v>1.0945397903801799</v>
      </c>
      <c r="N44" s="1">
        <v>1.0938338574228701</v>
      </c>
      <c r="O44" s="1">
        <v>1.17620165086719</v>
      </c>
      <c r="P44" s="1">
        <v>1.0817570444303599</v>
      </c>
      <c r="Q44" s="1">
        <v>1.2151180986980199</v>
      </c>
      <c r="R44" s="1">
        <v>1.1147711866213299</v>
      </c>
      <c r="S44" s="1">
        <v>1.15699742733269</v>
      </c>
      <c r="T44" s="1">
        <v>1.17519184722391</v>
      </c>
      <c r="U44" s="1">
        <v>1.18114785885111</v>
      </c>
      <c r="V44" s="1">
        <v>1.1310950133275901</v>
      </c>
      <c r="W44" s="1">
        <v>1.1322983004913401</v>
      </c>
      <c r="X44" s="1">
        <v>1.0432779433818899</v>
      </c>
      <c r="Y44" s="1">
        <v>1.16587496799201</v>
      </c>
      <c r="Z44" s="1">
        <v>1.1680290971477301</v>
      </c>
      <c r="AA44" s="1">
        <v>1.19871610601337</v>
      </c>
      <c r="AB44" s="1">
        <v>1.13522821945059</v>
      </c>
      <c r="AC44" s="1">
        <v>1.1815553510840999</v>
      </c>
      <c r="AD44" s="1">
        <f>AVERAGE(C44:AC44)</f>
        <v>1.1550822239833485</v>
      </c>
      <c r="AE44" s="1">
        <f>_xlfn.STDEV.P(C44:AC44)</f>
        <v>5.58931388681611E-2</v>
      </c>
      <c r="AF44" s="1">
        <f>AE44/AD44</f>
        <v>4.8388883239334525E-2</v>
      </c>
    </row>
    <row r="45" spans="1:32" ht="15" x14ac:dyDescent="0.15">
      <c r="A45" t="s">
        <v>5</v>
      </c>
      <c r="B45" s="4">
        <v>43376.3125</v>
      </c>
      <c r="C45" s="1">
        <v>1.4185188966809199</v>
      </c>
      <c r="D45" s="1">
        <v>1.3438567503174901</v>
      </c>
      <c r="E45" s="1">
        <v>1.3548025191658599</v>
      </c>
      <c r="F45" s="1">
        <v>1.3221626257008601</v>
      </c>
      <c r="G45" s="1">
        <v>1.38383903315074</v>
      </c>
      <c r="H45" s="1">
        <v>1.3063087083207301</v>
      </c>
      <c r="I45" s="1">
        <v>1.40457503953316</v>
      </c>
      <c r="J45" s="1">
        <v>1.3324089263379799</v>
      </c>
      <c r="K45" s="1">
        <v>1.2948654574862299</v>
      </c>
      <c r="L45" s="1">
        <v>1.2858035862024799</v>
      </c>
      <c r="M45" s="1">
        <v>1.3369539575987599</v>
      </c>
      <c r="N45" s="1">
        <v>1.33738235673124</v>
      </c>
      <c r="O45" s="1">
        <v>1.2762697927873301</v>
      </c>
      <c r="P45" s="1">
        <v>1.2992065574082201</v>
      </c>
      <c r="Q45" s="1">
        <v>1.34922300551507</v>
      </c>
      <c r="R45" s="1">
        <v>1.34580804066489</v>
      </c>
      <c r="S45" s="1">
        <v>1.3787078674470401</v>
      </c>
      <c r="T45" s="1">
        <v>1.3428870139273399</v>
      </c>
      <c r="U45" s="1">
        <v>1.3562092715451699</v>
      </c>
      <c r="V45" s="1">
        <v>1.32440774402494</v>
      </c>
      <c r="W45" s="1">
        <v>1.25977084362823</v>
      </c>
      <c r="X45" s="1">
        <v>1.1734064776083699</v>
      </c>
      <c r="Y45" s="1">
        <v>1.33839003235881</v>
      </c>
      <c r="Z45" s="1">
        <v>1.36290913100127</v>
      </c>
      <c r="AA45" s="1">
        <v>1.4157341148968801</v>
      </c>
      <c r="AB45" s="1">
        <v>1.2840576881346599</v>
      </c>
      <c r="AC45" s="1">
        <v>1.3611878320509601</v>
      </c>
      <c r="AD45" s="1">
        <f>AVERAGE(C45:AC45)</f>
        <v>1.3329501211194679</v>
      </c>
      <c r="AE45" s="1">
        <f>_xlfn.STDEV.P(C45:AC45)</f>
        <v>5.0749598013440068E-2</v>
      </c>
      <c r="AF45" s="1">
        <f>AE45/AD45</f>
        <v>3.8073141079591491E-2</v>
      </c>
    </row>
    <row r="46" spans="1:32" ht="15" x14ac:dyDescent="0.15">
      <c r="A46" t="s">
        <v>5</v>
      </c>
      <c r="B46" s="4">
        <v>43583.416666666664</v>
      </c>
      <c r="C46" s="1">
        <v>1.68783381462229</v>
      </c>
      <c r="D46" s="1">
        <v>1.6156733149474101</v>
      </c>
      <c r="E46" s="1">
        <v>1.56830477107088</v>
      </c>
      <c r="F46" s="1">
        <v>1.60696155611211</v>
      </c>
      <c r="G46" s="1">
        <v>1.70252819963598</v>
      </c>
      <c r="H46" s="1">
        <v>1.53320023081569</v>
      </c>
      <c r="I46" s="1">
        <v>1.6036680174107301</v>
      </c>
      <c r="J46" s="1">
        <v>1.6486740604671899</v>
      </c>
      <c r="K46" s="1">
        <v>1.6653437025308</v>
      </c>
      <c r="L46" s="1">
        <v>1.57494342566736</v>
      </c>
      <c r="M46" s="1">
        <v>1.6394141649463601</v>
      </c>
      <c r="N46" s="1">
        <v>1.6397505939308801</v>
      </c>
      <c r="O46" s="1">
        <v>1.6121242700063101</v>
      </c>
      <c r="P46" s="1">
        <v>1.48199627627755</v>
      </c>
      <c r="Q46" s="1">
        <v>1.5853871084915401</v>
      </c>
      <c r="R46" s="1">
        <v>1.62697181792825</v>
      </c>
      <c r="S46" s="1">
        <v>1.6900939874213099</v>
      </c>
      <c r="T46" s="1">
        <v>1.5167537721758999</v>
      </c>
      <c r="U46" s="1">
        <v>1.67192817560714</v>
      </c>
      <c r="V46" s="1">
        <v>1.6175929051820901</v>
      </c>
      <c r="W46" s="1">
        <v>1.5727932486968199</v>
      </c>
      <c r="X46" s="1">
        <v>1.4919411722128899</v>
      </c>
      <c r="Y46" s="1">
        <v>1.5506909805657201</v>
      </c>
      <c r="Z46" s="1">
        <v>1.64690796963138</v>
      </c>
      <c r="AA46" s="1">
        <v>1.69560379878484</v>
      </c>
      <c r="AB46" s="1">
        <v>1.6195132345236001</v>
      </c>
      <c r="AC46" s="1">
        <v>1.60994781884339</v>
      </c>
      <c r="AD46" s="1">
        <f>AVERAGE(C46:AC46)</f>
        <v>1.610242310685422</v>
      </c>
      <c r="AE46" s="1">
        <f>_xlfn.STDEV.P(C46:AC46)</f>
        <v>5.8935155467836661E-2</v>
      </c>
      <c r="AF46" s="1">
        <f>AE46/AD46</f>
        <v>3.6600178169924065E-2</v>
      </c>
    </row>
    <row r="47" spans="1:32" ht="15" x14ac:dyDescent="0.15">
      <c r="A47" t="s">
        <v>5</v>
      </c>
      <c r="B47" s="4">
        <v>43606.100694444445</v>
      </c>
      <c r="C47" s="1">
        <v>1.72095344650315</v>
      </c>
      <c r="D47" s="1">
        <v>1.63155903702935</v>
      </c>
      <c r="E47" s="1">
        <v>1.5732846548463999</v>
      </c>
      <c r="F47" s="1">
        <v>1.5639126749518999</v>
      </c>
      <c r="G47" s="1">
        <v>1.58276272629958</v>
      </c>
      <c r="H47" s="1">
        <v>1.5870502756552201</v>
      </c>
      <c r="I47" s="1">
        <v>1.54904336458653</v>
      </c>
      <c r="J47" s="1">
        <v>1.6374363511343299</v>
      </c>
      <c r="K47" s="1">
        <v>1.5628818011817101</v>
      </c>
      <c r="L47" s="1">
        <v>1.6475346240651201</v>
      </c>
      <c r="M47" s="1">
        <v>1.60503833837632</v>
      </c>
      <c r="N47" s="1">
        <v>1.54825992473575</v>
      </c>
      <c r="O47" s="1">
        <v>1.5365661462886799</v>
      </c>
      <c r="P47" s="1">
        <v>1.5034029269685101</v>
      </c>
      <c r="Q47" s="1">
        <v>1.60180206358962</v>
      </c>
      <c r="R47" s="1">
        <v>1.59060009075363</v>
      </c>
      <c r="S47" s="1">
        <v>1.6308148195321699</v>
      </c>
      <c r="T47" s="1">
        <v>1.491675276576</v>
      </c>
      <c r="U47" s="1">
        <v>1.6348197086637899</v>
      </c>
      <c r="V47" s="1">
        <v>1.5661795712228399</v>
      </c>
      <c r="W47" s="1">
        <v>1.5621420169973801</v>
      </c>
      <c r="X47" s="1">
        <v>1.48618426427789</v>
      </c>
      <c r="Y47" s="1">
        <v>1.59262531396746</v>
      </c>
      <c r="Z47" s="1">
        <v>1.5940117595446699</v>
      </c>
      <c r="AA47" s="1">
        <v>1.6198750879175501</v>
      </c>
      <c r="AB47" s="1">
        <v>1.67333403715225</v>
      </c>
      <c r="AC47" s="1">
        <v>1.66072316628044</v>
      </c>
      <c r="AD47" s="1">
        <f>AVERAGE(C47:AC47)</f>
        <v>1.5909064247814162</v>
      </c>
      <c r="AE47" s="1">
        <f>_xlfn.STDEV.P(C47:AC47)</f>
        <v>5.3966993416471959E-2</v>
      </c>
      <c r="AF47" s="1">
        <f>AE47/AD47</f>
        <v>3.3922166996017251E-2</v>
      </c>
    </row>
    <row r="48" spans="1:32" ht="15" x14ac:dyDescent="0.15">
      <c r="A48" t="s">
        <v>5</v>
      </c>
      <c r="B48" s="4">
        <v>43622.569444444445</v>
      </c>
      <c r="C48" s="1">
        <v>1.74791857893951</v>
      </c>
      <c r="D48" s="1">
        <v>1.8873824470403</v>
      </c>
      <c r="E48" s="1">
        <v>1.7383952477178799</v>
      </c>
      <c r="F48" s="1">
        <v>1.8226391481792601</v>
      </c>
      <c r="G48" s="1">
        <v>1.9008627527131901</v>
      </c>
      <c r="H48" s="1">
        <v>1.84731641551384</v>
      </c>
      <c r="I48" s="1">
        <v>1.70883021809075</v>
      </c>
      <c r="J48" s="1">
        <v>1.8788602608221401</v>
      </c>
      <c r="K48" s="1">
        <v>1.82110329621333</v>
      </c>
      <c r="L48" s="1">
        <v>1.80729003543654</v>
      </c>
      <c r="M48" s="1">
        <v>1.86990885052232</v>
      </c>
      <c r="N48" s="1">
        <v>1.72461256954897</v>
      </c>
      <c r="O48" s="1">
        <v>1.9675214540447901</v>
      </c>
      <c r="P48" s="1">
        <v>1.7630500729221601</v>
      </c>
      <c r="Q48" s="1">
        <v>1.8131127035144301</v>
      </c>
      <c r="R48" s="1">
        <v>1.7501205447034001</v>
      </c>
      <c r="S48" s="1">
        <v>1.8488139832684301</v>
      </c>
      <c r="T48" s="1">
        <v>1.76410218624546</v>
      </c>
      <c r="U48" s="1">
        <v>1.8143369271177801</v>
      </c>
      <c r="V48" s="1">
        <v>1.77909654702717</v>
      </c>
      <c r="W48" s="1">
        <v>1.79168510226579</v>
      </c>
      <c r="X48" s="1">
        <v>1.8006492052159599</v>
      </c>
      <c r="Y48" s="1">
        <v>1.70208358618149</v>
      </c>
      <c r="Z48" s="1">
        <v>1.72295639206103</v>
      </c>
      <c r="AA48" s="1">
        <v>1.6937036659694</v>
      </c>
      <c r="AB48" s="1">
        <v>1.79199099730628</v>
      </c>
      <c r="AC48" s="1">
        <v>1.7381017259462801</v>
      </c>
      <c r="AD48" s="1">
        <f>AVERAGE(C48:AC48)</f>
        <v>1.7961646264639954</v>
      </c>
      <c r="AE48" s="1">
        <f>_xlfn.STDEV.P(C48:AC48)</f>
        <v>6.6516673912586088E-2</v>
      </c>
      <c r="AF48" s="1">
        <f>AE48/AD48</f>
        <v>3.7032615458825503E-2</v>
      </c>
    </row>
    <row r="49" spans="1:32" ht="15" x14ac:dyDescent="0.15">
      <c r="A49" t="s">
        <v>5</v>
      </c>
      <c r="B49" s="4">
        <v>43624.84375</v>
      </c>
      <c r="C49" s="1">
        <v>1.38529186711421</v>
      </c>
      <c r="D49" s="1">
        <v>1.37630420332019</v>
      </c>
      <c r="E49" s="1">
        <v>1.3371947277790099</v>
      </c>
      <c r="F49" s="1">
        <v>1.3764380190611401</v>
      </c>
      <c r="G49" s="1">
        <v>1.4412865655479199</v>
      </c>
      <c r="H49" s="1">
        <v>1.3461593961395999</v>
      </c>
      <c r="I49" s="1">
        <v>1.4227291195854901</v>
      </c>
      <c r="J49" s="1">
        <v>1.3756236073616399</v>
      </c>
      <c r="K49" s="1">
        <v>1.3900213487655499</v>
      </c>
      <c r="L49" s="1">
        <v>1.38037734973085</v>
      </c>
      <c r="M49" s="1">
        <v>1.3997211580633699</v>
      </c>
      <c r="N49" s="1">
        <v>1.3289681876763799</v>
      </c>
      <c r="O49" s="1">
        <v>1.46741639288686</v>
      </c>
      <c r="P49" s="1">
        <v>1.3579154409493801</v>
      </c>
      <c r="Q49" s="1">
        <v>1.3380921227098601</v>
      </c>
      <c r="R49" s="1">
        <v>1.32918283930646</v>
      </c>
      <c r="S49" s="1">
        <v>1.3939842973847401</v>
      </c>
      <c r="T49" s="1">
        <v>1.3990309123610201</v>
      </c>
      <c r="U49" s="1">
        <v>1.40402069330603</v>
      </c>
      <c r="V49" s="1">
        <v>1.3757368304633999</v>
      </c>
      <c r="W49" s="1">
        <v>1.3433450359317001</v>
      </c>
      <c r="X49" s="1">
        <v>1.3538350272422</v>
      </c>
      <c r="Y49" s="1">
        <v>1.4143339445883201</v>
      </c>
      <c r="Z49" s="1">
        <v>1.3270278092097301</v>
      </c>
      <c r="AA49" s="1">
        <v>1.49599943691896</v>
      </c>
      <c r="AB49" s="1">
        <v>1.26606887698127</v>
      </c>
      <c r="AC49" s="1">
        <v>1.28690759367616</v>
      </c>
      <c r="AD49" s="1">
        <f>AVERAGE(C49:AC49)</f>
        <v>1.3745560297800534</v>
      </c>
      <c r="AE49" s="1">
        <f>_xlfn.STDEV.P(C49:AC49)</f>
        <v>4.9314820454410976E-2</v>
      </c>
      <c r="AF49" s="1">
        <f>AE49/AD49</f>
        <v>3.5876908169616029E-2</v>
      </c>
    </row>
    <row r="50" spans="1:32" ht="15" x14ac:dyDescent="0.15">
      <c r="A50" t="s">
        <v>5</v>
      </c>
      <c r="B50" s="4">
        <v>43634.972222222219</v>
      </c>
      <c r="C50" s="1">
        <v>1.2391219262398601</v>
      </c>
      <c r="D50" s="1">
        <v>1.1881062581200399</v>
      </c>
      <c r="E50" s="1">
        <v>1.2445710452023699</v>
      </c>
      <c r="F50" s="1">
        <v>1.2438696147164801</v>
      </c>
      <c r="G50" s="1">
        <v>1.29948410137979</v>
      </c>
      <c r="H50" s="1">
        <v>1.30754716971096</v>
      </c>
      <c r="I50" s="1">
        <v>1.32772198990984</v>
      </c>
      <c r="J50" s="1">
        <v>1.2445016494057</v>
      </c>
      <c r="K50" s="1">
        <v>1.2277291973381901</v>
      </c>
      <c r="L50" s="1">
        <v>1.27956999130452</v>
      </c>
      <c r="M50" s="1">
        <v>1.24644037172898</v>
      </c>
      <c r="N50" s="1">
        <v>1.28143544995697</v>
      </c>
      <c r="O50" s="1">
        <v>1.2214533903460301</v>
      </c>
      <c r="P50" s="1">
        <v>1.22045690131528</v>
      </c>
      <c r="Q50" s="1">
        <v>1.23841989182467</v>
      </c>
      <c r="R50" s="1">
        <v>1.2682275907359599</v>
      </c>
      <c r="S50" s="1">
        <v>1.25332007972687</v>
      </c>
      <c r="T50" s="1">
        <v>1.2729899988931801</v>
      </c>
      <c r="U50" s="1">
        <v>1.2532464066486899</v>
      </c>
      <c r="V50" s="1">
        <v>1.2772349223813999</v>
      </c>
      <c r="W50" s="1">
        <v>1.3028815060449801</v>
      </c>
      <c r="X50" s="1">
        <v>1.26720293816451</v>
      </c>
      <c r="Y50" s="1">
        <v>1.30915087078187</v>
      </c>
      <c r="Z50" s="1">
        <v>1.33367857430218</v>
      </c>
      <c r="AA50" s="1">
        <v>1.3063709687462199</v>
      </c>
      <c r="AB50" s="1">
        <v>1.3194056969952701</v>
      </c>
      <c r="AC50" s="1">
        <v>1.22602625023288</v>
      </c>
      <c r="AD50" s="1">
        <f>AVERAGE(C50:AC50)</f>
        <v>1.2666727685982846</v>
      </c>
      <c r="AE50" s="1">
        <f>_xlfn.STDEV.P(C50:AC50)</f>
        <v>3.6677799654361451E-2</v>
      </c>
      <c r="AF50" s="1">
        <f>AE50/AD50</f>
        <v>2.8956018131620173E-2</v>
      </c>
    </row>
    <row r="51" spans="1:32" ht="15" x14ac:dyDescent="0.15">
      <c r="A51" t="s">
        <v>5</v>
      </c>
      <c r="B51" s="4">
        <v>43643.128472222219</v>
      </c>
      <c r="C51" s="1">
        <v>1.7805487583372599</v>
      </c>
      <c r="D51" s="1">
        <v>1.8741455025844</v>
      </c>
      <c r="E51" s="1">
        <v>1.74272664930501</v>
      </c>
      <c r="F51" s="1">
        <v>1.8712894003280101</v>
      </c>
      <c r="G51" s="1">
        <v>1.9042722592341299</v>
      </c>
      <c r="H51" s="1">
        <v>1.98123551727501</v>
      </c>
      <c r="I51" s="1">
        <v>1.71183781471666</v>
      </c>
      <c r="J51" s="1">
        <v>1.87479169288098</v>
      </c>
      <c r="K51" s="1">
        <v>1.78357407632457</v>
      </c>
      <c r="L51" s="1">
        <v>1.87149184056483</v>
      </c>
      <c r="M51" s="1">
        <v>1.8525141814284001</v>
      </c>
      <c r="N51" s="1">
        <v>1.8171023466557501</v>
      </c>
      <c r="O51" s="1">
        <v>1.9250141645425001</v>
      </c>
      <c r="P51" s="1">
        <v>1.8199838192394799</v>
      </c>
      <c r="Q51" s="1">
        <v>1.8454097972580801</v>
      </c>
      <c r="R51" s="1">
        <v>1.8458561584545099</v>
      </c>
      <c r="S51" s="1">
        <v>1.8419724426127799</v>
      </c>
      <c r="T51" s="1">
        <v>1.74868427288205</v>
      </c>
      <c r="U51" s="1">
        <v>1.85137004477319</v>
      </c>
      <c r="V51" s="1">
        <v>1.8044843528305099</v>
      </c>
      <c r="W51" s="1">
        <v>1.8412841166632601</v>
      </c>
      <c r="X51" s="1">
        <v>1.8701243566974</v>
      </c>
      <c r="Y51" s="1">
        <v>1.78138485742918</v>
      </c>
      <c r="Z51" s="1">
        <v>1.80248703966345</v>
      </c>
      <c r="AA51" s="1">
        <v>1.75235170029667</v>
      </c>
      <c r="AB51" s="1">
        <v>1.93831769253839</v>
      </c>
      <c r="AC51" s="1">
        <v>1.7060376739613301</v>
      </c>
      <c r="AD51" s="1">
        <f>AVERAGE(C51:AC51)</f>
        <v>1.8311219455362147</v>
      </c>
      <c r="AE51" s="1">
        <f>_xlfn.STDEV.P(C51:AC51)</f>
        <v>6.6124344130836024E-2</v>
      </c>
      <c r="AF51" s="1">
        <f>AE51/AD51</f>
        <v>3.6111382036586627E-2</v>
      </c>
    </row>
    <row r="52" spans="1:32" ht="15" x14ac:dyDescent="0.15">
      <c r="A52" t="s">
        <v>5</v>
      </c>
      <c r="B52" s="4">
        <v>43647.878472222219</v>
      </c>
      <c r="C52" s="1">
        <v>1.6383842732352201</v>
      </c>
      <c r="D52" s="1">
        <v>1.5679580223705101</v>
      </c>
      <c r="E52" s="1">
        <v>1.4738719167497301</v>
      </c>
      <c r="F52" s="1">
        <v>1.4831215771463999</v>
      </c>
      <c r="G52" s="1">
        <v>1.50724638635373</v>
      </c>
      <c r="H52" s="1">
        <v>1.48841186850754</v>
      </c>
      <c r="I52" s="1">
        <v>1.4495265979193399</v>
      </c>
      <c r="J52" s="1">
        <v>1.52733968313069</v>
      </c>
      <c r="K52" s="1">
        <v>1.4592401577537399</v>
      </c>
      <c r="L52" s="1">
        <v>1.540418304198</v>
      </c>
      <c r="M52" s="1">
        <v>1.5349134862552001</v>
      </c>
      <c r="N52" s="1">
        <v>1.4777573359366301</v>
      </c>
      <c r="O52" s="1">
        <v>1.47502907386727</v>
      </c>
      <c r="P52" s="1">
        <v>1.3783616743793199</v>
      </c>
      <c r="Q52" s="1">
        <v>1.5163029772708301</v>
      </c>
      <c r="R52" s="1">
        <v>1.4978889923633301</v>
      </c>
      <c r="S52" s="1">
        <v>1.5600527941715101</v>
      </c>
      <c r="T52" s="1">
        <v>1.4249434077766301</v>
      </c>
      <c r="U52" s="1">
        <v>1.5314035750108901</v>
      </c>
      <c r="V52" s="1">
        <v>1.48564724870341</v>
      </c>
      <c r="W52" s="1">
        <v>1.5007713784965999</v>
      </c>
      <c r="X52" s="1">
        <v>1.3951333282983001</v>
      </c>
      <c r="Y52" s="1">
        <v>1.48910658816427</v>
      </c>
      <c r="Z52" s="1">
        <v>1.4850425797617499</v>
      </c>
      <c r="AA52" s="1">
        <v>1.5622372233220001</v>
      </c>
      <c r="AB52" s="1">
        <v>1.54656698182449</v>
      </c>
      <c r="AC52" s="1">
        <v>1.5708531922453199</v>
      </c>
      <c r="AD52" s="1">
        <f>AVERAGE(C52:AC52)</f>
        <v>1.5025011342671353</v>
      </c>
      <c r="AE52" s="1">
        <f>_xlfn.STDEV.P(C52:AC52)</f>
        <v>5.4968505480625894E-2</v>
      </c>
      <c r="AF52" s="1">
        <f>AE52/AD52</f>
        <v>3.658466820887793E-2</v>
      </c>
    </row>
    <row r="53" spans="1:32" ht="15" x14ac:dyDescent="0.15">
      <c r="A53" t="s">
        <v>5</v>
      </c>
      <c r="B53" s="4">
        <v>43649.458333333336</v>
      </c>
      <c r="C53" s="1">
        <v>1.32763341268394</v>
      </c>
      <c r="D53" s="1">
        <v>1.2555749298885299</v>
      </c>
      <c r="E53" s="1">
        <v>1.3244518093061299</v>
      </c>
      <c r="F53" s="1">
        <v>1.27829978877758</v>
      </c>
      <c r="G53" s="1">
        <v>1.3070594723083999</v>
      </c>
      <c r="H53" s="1">
        <v>1.36639139598008</v>
      </c>
      <c r="I53" s="1">
        <v>1.34004647292237</v>
      </c>
      <c r="J53" s="1">
        <v>1.2976761358495901</v>
      </c>
      <c r="K53" s="1">
        <v>1.3314658009657301</v>
      </c>
      <c r="L53" s="1">
        <v>1.3626104261422001</v>
      </c>
      <c r="M53" s="1">
        <v>1.17343433921964</v>
      </c>
      <c r="N53" s="1">
        <v>1.3488016409762</v>
      </c>
      <c r="O53" s="1">
        <v>1.2874328081685</v>
      </c>
      <c r="P53" s="1">
        <v>1.3684060995970699</v>
      </c>
      <c r="Q53" s="1">
        <v>1.2971599348025</v>
      </c>
      <c r="R53" s="1">
        <v>1.2091933530165599</v>
      </c>
      <c r="S53" s="1">
        <v>1.1314775461951201</v>
      </c>
      <c r="T53" s="1">
        <v>1.25070362952859</v>
      </c>
      <c r="U53" s="1">
        <v>1.3322429468902399</v>
      </c>
      <c r="V53" s="1">
        <v>1.27187627947699</v>
      </c>
      <c r="W53" s="1">
        <v>1.21534084128471</v>
      </c>
      <c r="X53" s="1">
        <v>1.1488271884190799</v>
      </c>
      <c r="Y53" s="1">
        <v>1.33312264556614</v>
      </c>
      <c r="Z53" s="1">
        <v>1.32106573420706</v>
      </c>
      <c r="AA53" s="1">
        <v>1.39333930002283</v>
      </c>
      <c r="AB53" s="1">
        <v>1.3774895463264101</v>
      </c>
      <c r="AC53" s="1">
        <v>1.42615222163692</v>
      </c>
      <c r="AD53" s="1">
        <f>AVERAGE(C53:AC53)</f>
        <v>1.2991583592651523</v>
      </c>
      <c r="AE53" s="1">
        <f>_xlfn.STDEV.P(C53:AC53)</f>
        <v>7.2292745113501575E-2</v>
      </c>
      <c r="AF53" s="1">
        <f>AE53/AD53</f>
        <v>5.5645829931304742E-2</v>
      </c>
    </row>
    <row r="54" spans="1:32" ht="15" x14ac:dyDescent="0.15">
      <c r="A54" t="s">
        <v>5</v>
      </c>
      <c r="B54" s="4">
        <v>43653.850694444445</v>
      </c>
      <c r="C54" s="1">
        <v>1.4831720851627399</v>
      </c>
      <c r="D54" s="1">
        <v>1.40733246179448</v>
      </c>
      <c r="E54" s="1">
        <v>1.3474499672101501</v>
      </c>
      <c r="F54" s="1">
        <v>1.34547204313503</v>
      </c>
      <c r="G54" s="1">
        <v>1.3612825388040699</v>
      </c>
      <c r="H54" s="1">
        <v>1.3016435094724399</v>
      </c>
      <c r="I54" s="1">
        <v>1.3733869092628099</v>
      </c>
      <c r="J54" s="1">
        <v>1.34744934785138</v>
      </c>
      <c r="K54" s="1">
        <v>1.3537525559083301</v>
      </c>
      <c r="L54" s="1">
        <v>1.2768476273632099</v>
      </c>
      <c r="M54" s="1">
        <v>1.3815909867632099</v>
      </c>
      <c r="N54" s="1">
        <v>1.3309866274481801</v>
      </c>
      <c r="O54" s="1">
        <v>1.3174744445948099</v>
      </c>
      <c r="P54" s="1">
        <v>1.3343952735025899</v>
      </c>
      <c r="Q54" s="1">
        <v>1.38245835212051</v>
      </c>
      <c r="R54" s="1">
        <v>1.3453454472995801</v>
      </c>
      <c r="S54" s="1">
        <v>1.3639613913356301</v>
      </c>
      <c r="T54" s="1">
        <v>1.3575742054244</v>
      </c>
      <c r="U54" s="1">
        <v>1.3653854693644101</v>
      </c>
      <c r="V54" s="1">
        <v>1.32812474149324</v>
      </c>
      <c r="W54" s="1">
        <v>1.2762858384909901</v>
      </c>
      <c r="X54" s="1">
        <v>1.28493207694019</v>
      </c>
      <c r="Y54" s="1">
        <v>1.3716538284464399</v>
      </c>
      <c r="Z54" s="1">
        <v>1.35070283002596</v>
      </c>
      <c r="AA54" s="1">
        <v>1.4625377547762399</v>
      </c>
      <c r="AB54" s="1">
        <v>1.27022951727244</v>
      </c>
      <c r="AC54" s="1">
        <v>1.37513512144225</v>
      </c>
      <c r="AD54" s="1">
        <f>AVERAGE(C54:AC54)</f>
        <v>1.3517245538039151</v>
      </c>
      <c r="AE54" s="1">
        <f>_xlfn.STDEV.P(C54:AC54)</f>
        <v>4.8630683732370561E-2</v>
      </c>
      <c r="AF54" s="1">
        <f>AE54/AD54</f>
        <v>3.5976770263969816E-2</v>
      </c>
    </row>
    <row r="55" spans="1:32" ht="15" x14ac:dyDescent="0.15">
      <c r="A55" t="s">
        <v>5</v>
      </c>
      <c r="B55" s="4">
        <v>43664.625</v>
      </c>
      <c r="C55" s="1">
        <v>1.35956385940321</v>
      </c>
      <c r="D55" s="1">
        <v>1.44556630207231</v>
      </c>
      <c r="E55" s="1">
        <v>1.4348025748491799</v>
      </c>
      <c r="F55" s="1">
        <v>1.41301637836178</v>
      </c>
      <c r="G55" s="1">
        <v>1.43089786874977</v>
      </c>
      <c r="H55" s="1">
        <v>1.35565356539496</v>
      </c>
      <c r="I55" s="1">
        <v>1.4214203397849801</v>
      </c>
      <c r="J55" s="1">
        <v>1.3829029509117601</v>
      </c>
      <c r="K55" s="1">
        <v>1.41906381267382</v>
      </c>
      <c r="L55" s="1">
        <v>1.3565348064387299</v>
      </c>
      <c r="M55" s="1">
        <v>1.39077543965614</v>
      </c>
      <c r="N55" s="1">
        <v>1.41154636657257</v>
      </c>
      <c r="O55" s="1">
        <v>1.3677364329935</v>
      </c>
      <c r="P55" s="1">
        <v>1.36785170512953</v>
      </c>
      <c r="Q55" s="1">
        <v>1.42399028048994</v>
      </c>
      <c r="R55" s="1">
        <v>1.41043125400688</v>
      </c>
      <c r="S55" s="1">
        <v>1.41986854279943</v>
      </c>
      <c r="T55" s="1">
        <v>1.389172946068</v>
      </c>
      <c r="U55" s="1">
        <v>1.3673624172902199</v>
      </c>
      <c r="V55" s="1">
        <v>1.4424318868972099</v>
      </c>
      <c r="W55" s="1">
        <v>1.35742777746709</v>
      </c>
      <c r="X55" s="1">
        <v>1.30375390632239</v>
      </c>
      <c r="Y55" s="1">
        <v>1.4531311626416299</v>
      </c>
      <c r="Z55" s="1">
        <v>1.39169179114219</v>
      </c>
      <c r="AA55" s="1">
        <v>1.48100813142732</v>
      </c>
      <c r="AB55" s="1">
        <v>1.22674193660401</v>
      </c>
      <c r="AC55" s="1">
        <v>1.40216352390185</v>
      </c>
      <c r="AD55" s="1">
        <f>AVERAGE(C55:AC55)</f>
        <v>1.393574368890756</v>
      </c>
      <c r="AE55" s="1">
        <f>_xlfn.STDEV.P(C55:AC55)</f>
        <v>4.974385086243753E-2</v>
      </c>
      <c r="AF55" s="1">
        <f>AE55/AD55</f>
        <v>3.5695153393235958E-2</v>
      </c>
    </row>
    <row r="56" spans="1:32" ht="15" x14ac:dyDescent="0.15">
      <c r="A56" t="s">
        <v>5</v>
      </c>
      <c r="B56" s="4">
        <v>43665.628472222219</v>
      </c>
      <c r="C56" s="1">
        <v>1.2967277975034901</v>
      </c>
      <c r="D56" s="1">
        <v>1.2919475964349301</v>
      </c>
      <c r="E56" s="1">
        <v>1.2756197343242801</v>
      </c>
      <c r="F56" s="1">
        <v>1.3403116056569799</v>
      </c>
      <c r="G56" s="1">
        <v>1.4283915778153</v>
      </c>
      <c r="H56" s="1">
        <v>1.3145797059675299</v>
      </c>
      <c r="I56" s="1">
        <v>1.32973329361631</v>
      </c>
      <c r="J56" s="1">
        <v>1.3287384373795701</v>
      </c>
      <c r="K56" s="1">
        <v>1.2775984437411301</v>
      </c>
      <c r="L56" s="1">
        <v>1.1477944990793401</v>
      </c>
      <c r="M56" s="1">
        <v>1.3674735198538499</v>
      </c>
      <c r="N56" s="1">
        <v>1.2432501396325999</v>
      </c>
      <c r="O56" s="1">
        <v>1.281140053648</v>
      </c>
      <c r="P56" s="1">
        <v>1.2167667042907599</v>
      </c>
      <c r="Q56" s="1">
        <v>1.3037633083046201</v>
      </c>
      <c r="R56" s="1">
        <v>1.3716043879692501</v>
      </c>
      <c r="S56" s="1">
        <v>1.3086180186195799</v>
      </c>
      <c r="T56" s="1">
        <v>1.2721159798455099</v>
      </c>
      <c r="U56" s="1">
        <v>1.38799186753778</v>
      </c>
      <c r="V56" s="1">
        <v>1.3705775205648101</v>
      </c>
      <c r="W56" s="1">
        <v>1.2130130867808</v>
      </c>
      <c r="X56" s="1">
        <v>1.29507860088319</v>
      </c>
      <c r="Y56" s="1">
        <v>1.3482581829764499</v>
      </c>
      <c r="Z56" s="1">
        <v>1.33175067112699</v>
      </c>
      <c r="AA56" s="1">
        <v>1.32692993637337</v>
      </c>
      <c r="AB56" s="1">
        <v>1.3237059055823901</v>
      </c>
      <c r="AC56" s="1">
        <v>1.2834422830216301</v>
      </c>
      <c r="AD56" s="1">
        <f>AVERAGE(C56:AC56)</f>
        <v>1.3065526984640907</v>
      </c>
      <c r="AE56" s="1">
        <f>_xlfn.STDEV.P(C56:AC56)</f>
        <v>5.7565991632943354E-2</v>
      </c>
      <c r="AF56" s="1">
        <f>AE56/AD56</f>
        <v>4.4059448731470739E-2</v>
      </c>
    </row>
    <row r="57" spans="1:32" ht="15" x14ac:dyDescent="0.15">
      <c r="A57" t="s">
        <v>5</v>
      </c>
      <c r="B57" s="4">
        <v>43683.684027777781</v>
      </c>
      <c r="C57" s="1">
        <v>1.45288080526084</v>
      </c>
      <c r="D57" s="1">
        <v>1.3066129293105999</v>
      </c>
      <c r="E57" s="1">
        <v>1.3199412350377999</v>
      </c>
      <c r="F57" s="1">
        <v>1.29793090908166</v>
      </c>
      <c r="G57" s="1">
        <v>1.4335004982810899</v>
      </c>
      <c r="H57" s="1">
        <v>1.32988370141636</v>
      </c>
      <c r="I57" s="1">
        <v>1.4015709490811601</v>
      </c>
      <c r="J57" s="1">
        <v>1.2882727023501399</v>
      </c>
      <c r="K57" s="1">
        <v>1.28551239300956</v>
      </c>
      <c r="L57" s="1">
        <v>1.2591811087756399</v>
      </c>
      <c r="M57" s="1">
        <v>1.3665813382030301</v>
      </c>
      <c r="N57" s="1">
        <v>1.27409222884841</v>
      </c>
      <c r="O57" s="1">
        <v>1.2882225475573901</v>
      </c>
      <c r="P57" s="1">
        <v>1.4453996122072701</v>
      </c>
      <c r="Q57" s="1">
        <v>1.31948524963227</v>
      </c>
      <c r="R57" s="1">
        <v>1.34945592072844</v>
      </c>
      <c r="S57" s="1">
        <v>1.4265804511103799</v>
      </c>
      <c r="T57" s="1">
        <v>1.43480281528795</v>
      </c>
      <c r="U57" s="1">
        <v>1.30226168478213</v>
      </c>
      <c r="V57" s="1">
        <v>1.3424217658640101</v>
      </c>
      <c r="W57" s="1">
        <v>1.32452444910903</v>
      </c>
      <c r="X57" s="1">
        <v>1.4108320556107099</v>
      </c>
      <c r="Y57" s="1">
        <v>1.38172358526618</v>
      </c>
      <c r="Z57" s="1">
        <v>1.3583154357886</v>
      </c>
      <c r="AA57" s="1">
        <v>1.4399470483138299</v>
      </c>
      <c r="AB57" s="1">
        <v>1.30423423510611</v>
      </c>
      <c r="AC57" s="1">
        <v>1.2480956796573099</v>
      </c>
      <c r="AD57" s="1">
        <f>AVERAGE(C57:AC57)</f>
        <v>1.3478616049880701</v>
      </c>
      <c r="AE57" s="1">
        <f>_xlfn.STDEV.P(C57:AC57)</f>
        <v>6.1909316816865616E-2</v>
      </c>
      <c r="AF57" s="1">
        <f>AE57/AD57</f>
        <v>4.5931508537490819E-2</v>
      </c>
    </row>
    <row r="58" spans="1:32" ht="15" x14ac:dyDescent="0.15">
      <c r="A58" t="s">
        <v>5</v>
      </c>
      <c r="B58" s="4">
        <v>43693.038194444445</v>
      </c>
      <c r="C58" s="1">
        <v>1.30265453996111</v>
      </c>
      <c r="D58" s="1">
        <v>1.2721656951584299</v>
      </c>
      <c r="E58" s="1">
        <v>1.29756573709284</v>
      </c>
      <c r="F58" s="1">
        <v>1.27406461445259</v>
      </c>
      <c r="G58" s="1">
        <v>1.2879831341921499</v>
      </c>
      <c r="H58" s="1">
        <v>1.28698959055935</v>
      </c>
      <c r="I58" s="1">
        <v>1.2473824177933801</v>
      </c>
      <c r="J58" s="1">
        <v>1.2138507643227501</v>
      </c>
      <c r="K58" s="1">
        <v>1.1903775615016601</v>
      </c>
      <c r="L58" s="1">
        <v>1.0971620066260499</v>
      </c>
      <c r="M58" s="1">
        <v>1.2676226668325501</v>
      </c>
      <c r="N58" s="1">
        <v>1.2330599441251699</v>
      </c>
      <c r="O58" s="1">
        <v>1.18869046098022</v>
      </c>
      <c r="P58" s="1">
        <v>1.18463237267324</v>
      </c>
      <c r="Q58" s="1">
        <v>1.2419788837767201</v>
      </c>
      <c r="R58" s="1">
        <v>1.2618313810451101</v>
      </c>
      <c r="S58" s="1">
        <v>1.28112178916415</v>
      </c>
      <c r="T58" s="1">
        <v>1.28288363528681</v>
      </c>
      <c r="U58" s="1">
        <v>1.2388320681206899</v>
      </c>
      <c r="V58" s="1">
        <v>1.31004861539823</v>
      </c>
      <c r="W58" s="1">
        <v>1.15701620986904</v>
      </c>
      <c r="X58" s="1">
        <v>1.27934962345042</v>
      </c>
      <c r="Y58" s="1">
        <v>1.2813807227004399</v>
      </c>
      <c r="Z58" s="1">
        <v>1.22636103023101</v>
      </c>
      <c r="AA58" s="1">
        <v>1.3010321984962701</v>
      </c>
      <c r="AB58" s="1">
        <v>1.28238613628418</v>
      </c>
      <c r="AC58" s="1">
        <v>1.2483486114225399</v>
      </c>
      <c r="AD58" s="1">
        <f>AVERAGE(C58:AC58)</f>
        <v>1.2495100893154483</v>
      </c>
      <c r="AE58" s="1">
        <f>_xlfn.STDEV.P(C58:AC58)</f>
        <v>4.961283309387076E-2</v>
      </c>
      <c r="AF58" s="1">
        <f>AE58/AD58</f>
        <v>3.9705828322724034E-2</v>
      </c>
    </row>
    <row r="59" spans="1:32" ht="15" x14ac:dyDescent="0.15">
      <c r="A59" t="s">
        <v>5</v>
      </c>
      <c r="B59" s="4">
        <v>43699.829861111109</v>
      </c>
      <c r="C59" s="1">
        <v>1.59512344701828</v>
      </c>
      <c r="D59" s="1">
        <v>1.5442286892161401</v>
      </c>
      <c r="E59" s="1">
        <v>1.55911387224753</v>
      </c>
      <c r="F59" s="1">
        <v>1.5618591691694099</v>
      </c>
      <c r="G59" s="1">
        <v>1.5438517331727399</v>
      </c>
      <c r="H59" s="1">
        <v>1.52051291693309</v>
      </c>
      <c r="I59" s="1">
        <v>1.59708984823355</v>
      </c>
      <c r="J59" s="1">
        <v>1.5096575726305801</v>
      </c>
      <c r="K59" s="1">
        <v>1.49922556022742</v>
      </c>
      <c r="L59" s="1">
        <v>1.44415780298862</v>
      </c>
      <c r="M59" s="1">
        <v>1.53989707047439</v>
      </c>
      <c r="N59" s="1">
        <v>1.56037975240841</v>
      </c>
      <c r="O59" s="1">
        <v>1.48431015399934</v>
      </c>
      <c r="P59" s="1">
        <v>1.6455602096752999</v>
      </c>
      <c r="Q59" s="1">
        <v>1.5480583143445601</v>
      </c>
      <c r="R59" s="1">
        <v>1.5105495951761001</v>
      </c>
      <c r="S59" s="1">
        <v>1.54710298786691</v>
      </c>
      <c r="T59" s="1">
        <v>1.5810702236999401</v>
      </c>
      <c r="U59" s="1">
        <v>1.4936919213926401</v>
      </c>
      <c r="V59" s="1">
        <v>1.5170361336249301</v>
      </c>
      <c r="W59" s="1">
        <v>1.44847034930077</v>
      </c>
      <c r="X59" s="1">
        <v>1.52558690241773</v>
      </c>
      <c r="Y59" s="1">
        <v>1.56538529272836</v>
      </c>
      <c r="Z59" s="1">
        <v>1.51616185636825</v>
      </c>
      <c r="AA59" s="1">
        <v>1.61917800025477</v>
      </c>
      <c r="AB59" s="1">
        <v>1.45890694954554</v>
      </c>
      <c r="AC59" s="1">
        <v>1.4607348010269401</v>
      </c>
      <c r="AD59" s="1">
        <f>AVERAGE(C59:AC59)</f>
        <v>1.5332185602274901</v>
      </c>
      <c r="AE59" s="1">
        <f>_xlfn.STDEV.P(C59:AC59)</f>
        <v>4.9817427995808891E-2</v>
      </c>
      <c r="AF59" s="1">
        <f>AE59/AD59</f>
        <v>3.2492059050222601E-2</v>
      </c>
    </row>
    <row r="60" spans="1:32" ht="15" x14ac:dyDescent="0.15">
      <c r="A60" t="s">
        <v>5</v>
      </c>
      <c r="B60" s="4">
        <v>43707.607638888891</v>
      </c>
      <c r="C60" s="1">
        <v>1.6246906161993899</v>
      </c>
      <c r="D60" s="1">
        <v>1.5836264606850501</v>
      </c>
      <c r="E60" s="1">
        <v>1.4708156265702499</v>
      </c>
      <c r="F60" s="1">
        <v>1.5757378497022101</v>
      </c>
      <c r="G60" s="1">
        <v>1.6873581453128601</v>
      </c>
      <c r="H60" s="1">
        <v>1.60600344862261</v>
      </c>
      <c r="I60" s="1">
        <v>1.47259510859522</v>
      </c>
      <c r="J60" s="1">
        <v>1.6205682061198401</v>
      </c>
      <c r="K60" s="1">
        <v>1.53182147388553</v>
      </c>
      <c r="L60" s="1">
        <v>1.60583877228895</v>
      </c>
      <c r="M60" s="1">
        <v>1.6047764492035399</v>
      </c>
      <c r="N60" s="1">
        <v>1.4897368702443601</v>
      </c>
      <c r="O60" s="1">
        <v>1.5849911360711399</v>
      </c>
      <c r="P60" s="1">
        <v>1.42088889942222</v>
      </c>
      <c r="Q60" s="1">
        <v>1.4949969874768001</v>
      </c>
      <c r="R60" s="1">
        <v>1.5264781793414</v>
      </c>
      <c r="S60" s="1">
        <v>1.5238290596086499</v>
      </c>
      <c r="T60" s="1">
        <v>1.4716636686653299</v>
      </c>
      <c r="U60" s="1">
        <v>1.53322792270843</v>
      </c>
      <c r="V60" s="1">
        <v>1.49360070063393</v>
      </c>
      <c r="W60" s="1">
        <v>1.6292308980635799</v>
      </c>
      <c r="X60" s="1">
        <v>1.4979297833310801</v>
      </c>
      <c r="Y60" s="1">
        <v>1.50997236957611</v>
      </c>
      <c r="Z60" s="1">
        <v>1.47914544004439</v>
      </c>
      <c r="AA60" s="1">
        <v>1.43608286335451</v>
      </c>
      <c r="AB60" s="1">
        <v>1.52912490587564</v>
      </c>
      <c r="AC60" s="1">
        <v>1.2812436316521401</v>
      </c>
      <c r="AD60" s="1">
        <f>AVERAGE(C60:AC60)</f>
        <v>1.5291102027131542</v>
      </c>
      <c r="AE60" s="1">
        <f>_xlfn.STDEV.P(C60:AC60)</f>
        <v>8.1177873990340349E-2</v>
      </c>
      <c r="AF60" s="1">
        <f>AE60/AD60</f>
        <v>5.3088308381111823E-2</v>
      </c>
    </row>
    <row r="61" spans="1:32" ht="15" x14ac:dyDescent="0.15">
      <c r="A61" t="s">
        <v>5</v>
      </c>
      <c r="B61" s="4">
        <v>43726.791666666664</v>
      </c>
      <c r="C61" s="1">
        <v>1.07340847768988</v>
      </c>
      <c r="D61" s="1">
        <v>1.01601999340254</v>
      </c>
      <c r="E61" s="1">
        <v>1.05970906837351</v>
      </c>
      <c r="F61" s="1">
        <v>1.0439701986424601</v>
      </c>
      <c r="G61" s="1">
        <v>1.0854074558000799</v>
      </c>
      <c r="H61" s="1">
        <v>1.05801308182994</v>
      </c>
      <c r="I61" s="1">
        <v>1.04250796754159</v>
      </c>
      <c r="J61" s="1">
        <v>1.07431800967832</v>
      </c>
      <c r="K61" s="1">
        <v>1.0418166363519901</v>
      </c>
      <c r="L61" s="1">
        <v>1.0098376651620999</v>
      </c>
      <c r="M61" s="1">
        <v>1.0750457002466201</v>
      </c>
      <c r="N61" s="1">
        <v>1.0515911687447299</v>
      </c>
      <c r="O61" s="1">
        <v>1.0723921298902399</v>
      </c>
      <c r="P61" s="1">
        <v>1.0449277469230001</v>
      </c>
      <c r="Q61" s="1">
        <v>1.01470751320311</v>
      </c>
      <c r="R61" s="1">
        <v>1.0569041496640501</v>
      </c>
      <c r="S61" s="1">
        <v>1.0214986594411799</v>
      </c>
      <c r="T61" s="1">
        <v>1.03066200863471</v>
      </c>
      <c r="U61" s="1">
        <v>1.0475084871162099</v>
      </c>
      <c r="V61" s="1">
        <v>1.0511805740715101</v>
      </c>
      <c r="W61" s="1">
        <v>1.06552984469904</v>
      </c>
      <c r="X61" s="1">
        <v>1.0174850143051799</v>
      </c>
      <c r="Y61" s="1">
        <v>1.03754026185257</v>
      </c>
      <c r="Z61" s="1">
        <v>1.0201570688003601</v>
      </c>
      <c r="AA61" s="1">
        <v>1.04098051625703</v>
      </c>
      <c r="AB61" s="1">
        <v>1.07960212836439</v>
      </c>
      <c r="AC61" s="1">
        <v>1.06376771555724</v>
      </c>
      <c r="AD61" s="1">
        <f>AVERAGE(C61:AC61)</f>
        <v>1.0480181200830954</v>
      </c>
      <c r="AE61" s="1">
        <f>_xlfn.STDEV.P(C61:AC61)</f>
        <v>2.1523496436558692E-2</v>
      </c>
      <c r="AF61" s="1">
        <f>AE61/AD61</f>
        <v>2.0537332345792012E-2</v>
      </c>
    </row>
    <row r="62" spans="1:32" ht="15" x14ac:dyDescent="0.15">
      <c r="A62" t="s">
        <v>5</v>
      </c>
      <c r="B62" s="4">
        <v>43738.246527777781</v>
      </c>
      <c r="C62" s="1">
        <v>1.3607937801618499</v>
      </c>
      <c r="D62" s="1">
        <v>1.2312995050939399</v>
      </c>
      <c r="E62" s="1">
        <v>1.20347490759831</v>
      </c>
      <c r="F62" s="1">
        <v>1.23787150910602</v>
      </c>
      <c r="G62" s="1">
        <v>1.30148032122346</v>
      </c>
      <c r="H62" s="1">
        <v>1.1887928673600701</v>
      </c>
      <c r="I62" s="1">
        <v>1.2110387175772901</v>
      </c>
      <c r="J62" s="1">
        <v>1.18800426276702</v>
      </c>
      <c r="K62" s="1">
        <v>1.1810889997190099</v>
      </c>
      <c r="L62" s="1">
        <v>1.13124660326322</v>
      </c>
      <c r="M62" s="1">
        <v>1.25491311644035</v>
      </c>
      <c r="N62" s="1">
        <v>1.20099357967747</v>
      </c>
      <c r="O62" s="1">
        <v>1.1713441021169699</v>
      </c>
      <c r="P62" s="1">
        <v>1.19005537296763</v>
      </c>
      <c r="Q62" s="1">
        <v>1.1942921564319899</v>
      </c>
      <c r="R62" s="1">
        <v>1.22280337898094</v>
      </c>
      <c r="S62" s="1">
        <v>1.24196053547457</v>
      </c>
      <c r="T62" s="1">
        <v>1.2259604033400899</v>
      </c>
      <c r="U62" s="1">
        <v>1.2314067781033899</v>
      </c>
      <c r="V62" s="1">
        <v>1.2706921105146201</v>
      </c>
      <c r="W62" s="1">
        <v>1.1113070825063101</v>
      </c>
      <c r="X62" s="1">
        <v>1.2012434060508801</v>
      </c>
      <c r="Y62" s="1">
        <v>1.2180896006986299</v>
      </c>
      <c r="Z62" s="1">
        <v>1.2273835520590901</v>
      </c>
      <c r="AA62" s="1">
        <v>1.2349752070376001</v>
      </c>
      <c r="AB62" s="1">
        <v>1.22150524985483</v>
      </c>
      <c r="AC62" s="1">
        <v>1.2217167085237299</v>
      </c>
      <c r="AD62" s="1">
        <f>AVERAGE(C62:AC62)</f>
        <v>1.2176197709129366</v>
      </c>
      <c r="AE62" s="1">
        <f>_xlfn.STDEV.P(C62:AC62)</f>
        <v>4.7015541590089173E-2</v>
      </c>
      <c r="AF62" s="1">
        <f>AE62/AD62</f>
        <v>3.8612662764861527E-2</v>
      </c>
    </row>
    <row r="63" spans="1:32" ht="15" x14ac:dyDescent="0.15">
      <c r="A63" t="s">
        <v>6</v>
      </c>
      <c r="B63" s="4">
        <v>43267.770833333336</v>
      </c>
      <c r="C63" s="1">
        <v>1.7287487006753599</v>
      </c>
      <c r="D63" s="1">
        <v>1.6227806729416201</v>
      </c>
      <c r="E63" s="1">
        <v>1.5593488727307501</v>
      </c>
      <c r="F63" s="1">
        <v>1.5904776308209401</v>
      </c>
      <c r="G63" s="1">
        <v>1.5728843572541</v>
      </c>
      <c r="H63" s="1">
        <v>1.5974809316708001</v>
      </c>
      <c r="I63" s="1">
        <v>1.5554145280949501</v>
      </c>
      <c r="J63" s="1">
        <v>1.5992494562194699</v>
      </c>
      <c r="K63" s="1">
        <v>1.5695314193900201</v>
      </c>
      <c r="L63" s="1">
        <v>1.57728725346607</v>
      </c>
      <c r="M63" s="1">
        <v>1.59054707908554</v>
      </c>
      <c r="N63" s="1">
        <v>1.5446390091503599</v>
      </c>
      <c r="O63" s="1">
        <v>1.47540018367298</v>
      </c>
      <c r="P63" s="1">
        <v>1.5365325888124799</v>
      </c>
      <c r="Q63" s="1">
        <v>1.58908308088899</v>
      </c>
      <c r="R63" s="1">
        <v>1.57348893620528</v>
      </c>
      <c r="S63" s="1">
        <v>1.6111627672717801</v>
      </c>
      <c r="T63" s="1">
        <v>1.48668757851337</v>
      </c>
      <c r="U63" s="1">
        <v>1.5879736998559799</v>
      </c>
      <c r="V63" s="1">
        <v>1.5177209717453399</v>
      </c>
      <c r="W63" s="1">
        <v>1.55774681676303</v>
      </c>
      <c r="X63" s="1">
        <v>1.3989376177664199</v>
      </c>
      <c r="Y63" s="1">
        <v>1.5428582247885501</v>
      </c>
      <c r="Z63" s="1">
        <v>1.5566575653807</v>
      </c>
      <c r="AA63" s="1">
        <v>1.6375495176189401</v>
      </c>
      <c r="AB63" s="1">
        <v>1.52036802950331</v>
      </c>
      <c r="AC63" s="1">
        <v>1.6659078022818701</v>
      </c>
      <c r="AD63" s="1">
        <f>AVERAGE(C63:AC63)</f>
        <v>1.5691283441692225</v>
      </c>
      <c r="AE63" s="1">
        <f>_xlfn.STDEV.P(C63:AC63)</f>
        <v>6.0900177595908121E-2</v>
      </c>
      <c r="AF63" s="1">
        <f>AE63/AD63</f>
        <v>3.8811469961784299E-2</v>
      </c>
    </row>
    <row r="64" spans="1:32" ht="15" x14ac:dyDescent="0.15">
      <c r="A64" t="s">
        <v>6</v>
      </c>
      <c r="B64" s="4">
        <v>43274.204861111109</v>
      </c>
      <c r="C64" s="1">
        <v>1.01371055107335</v>
      </c>
      <c r="D64" s="1">
        <v>1.16996180126775</v>
      </c>
      <c r="E64" s="1">
        <v>1.0893610752184499</v>
      </c>
      <c r="F64" s="1">
        <v>1.12670845040005</v>
      </c>
      <c r="G64" s="1">
        <v>1.12265143470759</v>
      </c>
      <c r="H64" s="1">
        <v>1.14407848500041</v>
      </c>
      <c r="I64" s="1">
        <v>1.11514045701183</v>
      </c>
      <c r="J64" s="1">
        <v>1.0878170609517199</v>
      </c>
      <c r="K64" s="1">
        <v>1.1609312864897701</v>
      </c>
      <c r="L64" s="1">
        <v>1.11808734483607</v>
      </c>
      <c r="M64" s="1">
        <v>1.0632788652968801</v>
      </c>
      <c r="N64" s="1">
        <v>1.13378415310458</v>
      </c>
      <c r="O64" s="1">
        <v>1.19273520606255</v>
      </c>
      <c r="P64" s="1">
        <v>1.10670015052416</v>
      </c>
      <c r="Q64" s="1">
        <v>1.21924385232192</v>
      </c>
      <c r="R64" s="1">
        <v>1.1167360916912901</v>
      </c>
      <c r="S64" s="1">
        <v>1.1434420236387399</v>
      </c>
      <c r="T64" s="1">
        <v>1.07165734335422</v>
      </c>
      <c r="U64" s="1">
        <v>1.1464788858870301</v>
      </c>
      <c r="V64" s="1">
        <v>1.1531956242365899</v>
      </c>
      <c r="W64" s="1">
        <v>1.0036463610447399</v>
      </c>
      <c r="X64" s="1">
        <v>1.0580942920687399</v>
      </c>
      <c r="Y64" s="1">
        <v>1.1113339433021101</v>
      </c>
      <c r="Z64" s="1">
        <v>1.1914691781195901</v>
      </c>
      <c r="AA64" s="1">
        <v>1.06114960107936</v>
      </c>
      <c r="AB64" s="1">
        <v>1.1119806410650599</v>
      </c>
      <c r="AC64" s="1">
        <v>1.3646338797594999</v>
      </c>
      <c r="AD64" s="1">
        <f>AVERAGE(C64:AC64)</f>
        <v>1.1258521496116318</v>
      </c>
      <c r="AE64" s="1">
        <f>_xlfn.STDEV.P(C64:AC64)</f>
        <v>6.8456237856697036E-2</v>
      </c>
      <c r="AF64" s="1">
        <f>AE64/AD64</f>
        <v>6.080393227504282E-2</v>
      </c>
    </row>
    <row r="65" spans="1:32" ht="15" x14ac:dyDescent="0.15">
      <c r="A65" t="s">
        <v>6</v>
      </c>
      <c r="B65" s="4">
        <v>43338.875</v>
      </c>
      <c r="C65" s="1">
        <v>0.99758617781563996</v>
      </c>
      <c r="D65" s="1">
        <v>0.99493869844331295</v>
      </c>
      <c r="E65" s="1">
        <v>1.00142231428457</v>
      </c>
      <c r="F65" s="1">
        <v>1.0342869265313901</v>
      </c>
      <c r="G65" s="1">
        <v>1.0342745692311699</v>
      </c>
      <c r="H65" s="1">
        <v>1.0370445826748</v>
      </c>
      <c r="I65" s="1">
        <v>1.0050238586140099</v>
      </c>
      <c r="J65" s="1">
        <v>0.96693171700701996</v>
      </c>
      <c r="K65" s="1">
        <v>1.0088662658018701</v>
      </c>
      <c r="L65" s="1">
        <v>0.976810578853328</v>
      </c>
      <c r="M65" s="1">
        <v>0.97292456501551305</v>
      </c>
      <c r="N65" s="1">
        <v>0.98747252801489305</v>
      </c>
      <c r="O65" s="1">
        <v>1.0157751730711599</v>
      </c>
      <c r="P65" s="1">
        <v>1.02985410127417</v>
      </c>
      <c r="Q65" s="1">
        <v>0.99800365665430701</v>
      </c>
      <c r="R65" s="1">
        <v>1.0048806105947601</v>
      </c>
      <c r="S65" s="1">
        <v>1.00396650458239</v>
      </c>
      <c r="T65" s="1">
        <v>1.01745019319247</v>
      </c>
      <c r="U65" s="1">
        <v>1.01422820400489</v>
      </c>
      <c r="V65" s="1">
        <v>1.0320752590570399</v>
      </c>
      <c r="W65" s="1">
        <v>1.0096065645999499</v>
      </c>
      <c r="X65" s="1">
        <v>1.02715592391352</v>
      </c>
      <c r="Y65" s="1">
        <v>1.0236605491235899</v>
      </c>
      <c r="Z65" s="1">
        <v>1.0223273360596401</v>
      </c>
      <c r="AA65" s="1">
        <v>1.0410087736693401</v>
      </c>
      <c r="AB65" s="1">
        <v>1.0130264288634001</v>
      </c>
      <c r="AC65" s="1">
        <v>1.05653996454049</v>
      </c>
      <c r="AD65" s="1">
        <f>AVERAGE(C65:AC65)</f>
        <v>1.0121163713143939</v>
      </c>
      <c r="AE65" s="1">
        <f>_xlfn.STDEV.P(C65:AC65)</f>
        <v>2.1145993502778342E-2</v>
      </c>
      <c r="AF65" s="1">
        <f>AE65/AD65</f>
        <v>2.0892847998611967E-2</v>
      </c>
    </row>
    <row r="66" spans="1:32" ht="15" x14ac:dyDescent="0.15">
      <c r="A66" t="s">
        <v>6</v>
      </c>
      <c r="B66" s="4">
        <v>43624.600694444445</v>
      </c>
      <c r="C66" s="1">
        <v>1.8265663371993699</v>
      </c>
      <c r="D66" s="1">
        <v>1.697329641179</v>
      </c>
      <c r="E66" s="1">
        <v>1.6315662129597901</v>
      </c>
      <c r="F66" s="1">
        <v>1.67857868028364</v>
      </c>
      <c r="G66" s="1">
        <v>1.7749005308403401</v>
      </c>
      <c r="H66" s="1">
        <v>1.66757495144279</v>
      </c>
      <c r="I66" s="1">
        <v>1.70713374764545</v>
      </c>
      <c r="J66" s="1">
        <v>1.75772454944033</v>
      </c>
      <c r="K66" s="1">
        <v>1.7847890253995999</v>
      </c>
      <c r="L66" s="1">
        <v>1.7510689684155001</v>
      </c>
      <c r="M66" s="1">
        <v>1.71971900171466</v>
      </c>
      <c r="N66" s="1">
        <v>1.67891434943614</v>
      </c>
      <c r="O66" s="1">
        <v>1.6974945901165199</v>
      </c>
      <c r="P66" s="1">
        <v>1.58512486459758</v>
      </c>
      <c r="Q66" s="1">
        <v>1.6696902911401399</v>
      </c>
      <c r="R66" s="1">
        <v>1.7059475667608499</v>
      </c>
      <c r="S66" s="1">
        <v>1.73373187062776</v>
      </c>
      <c r="T66" s="1">
        <v>1.5673350882406101</v>
      </c>
      <c r="U66" s="1">
        <v>1.7550363256294601</v>
      </c>
      <c r="V66" s="1">
        <v>1.6656145770094</v>
      </c>
      <c r="W66" s="1">
        <v>1.5967044047402399</v>
      </c>
      <c r="X66" s="1">
        <v>1.650648871604</v>
      </c>
      <c r="Y66" s="1">
        <v>1.65178703153263</v>
      </c>
      <c r="Z66" s="1">
        <v>1.66873802541407</v>
      </c>
      <c r="AA66" s="1">
        <v>1.72139578477402</v>
      </c>
      <c r="AB66" s="1">
        <v>1.6792848357449399</v>
      </c>
      <c r="AC66" s="1">
        <v>1.69456828916479</v>
      </c>
      <c r="AD66" s="1">
        <f>AVERAGE(C66:AC66)</f>
        <v>1.6932951264093932</v>
      </c>
      <c r="AE66" s="1">
        <f>_xlfn.STDEV.P(C66:AC66)</f>
        <v>5.9335547595897396E-2</v>
      </c>
      <c r="AF66" s="1">
        <f>AE66/AD66</f>
        <v>3.5041468359811284E-2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7"/>
  <sheetViews>
    <sheetView tabSelected="1" zoomScale="85" zoomScaleNormal="85" workbookViewId="0">
      <selection activeCell="AJ31" sqref="AJ31"/>
    </sheetView>
  </sheetViews>
  <sheetFormatPr defaultColWidth="9" defaultRowHeight="13.5" x14ac:dyDescent="0.15"/>
  <cols>
    <col min="1" max="1" width="9" style="1"/>
    <col min="2" max="2" width="15.75" style="3" bestFit="1" customWidth="1"/>
    <col min="3" max="6" width="9" style="1"/>
    <col min="7" max="7" width="17.25" style="1" bestFit="1" customWidth="1"/>
    <col min="8" max="32" width="9" style="1"/>
  </cols>
  <sheetData>
    <row r="1" spans="1:32" x14ac:dyDescent="0.15">
      <c r="B1" s="3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F1" s="2" t="s">
        <v>2</v>
      </c>
    </row>
    <row r="2" spans="1:32" ht="15" x14ac:dyDescent="0.15">
      <c r="A2" t="s">
        <v>3</v>
      </c>
      <c r="B2" s="4">
        <v>43274.208333333336</v>
      </c>
      <c r="C2" s="1">
        <v>0.127532057007019</v>
      </c>
      <c r="D2" s="1">
        <v>0.124588178441707</v>
      </c>
      <c r="E2" s="1">
        <v>0.122684034724381</v>
      </c>
      <c r="F2" s="1">
        <v>0.112010127858473</v>
      </c>
      <c r="G2" s="1">
        <v>0.13223970240292099</v>
      </c>
      <c r="H2" s="1">
        <v>0.13274251714097199</v>
      </c>
      <c r="I2" s="1">
        <v>0.13231656472356099</v>
      </c>
      <c r="J2" s="1">
        <v>0.118092897070458</v>
      </c>
      <c r="K2" s="1">
        <v>0.12570110479844801</v>
      </c>
      <c r="L2" s="1">
        <v>0.12899548258941801</v>
      </c>
      <c r="M2" s="1">
        <v>0.119165772306214</v>
      </c>
      <c r="N2" s="1">
        <v>0.12834913240301099</v>
      </c>
      <c r="O2" s="1">
        <v>0.122037568826262</v>
      </c>
      <c r="P2" s="1">
        <v>0.12752957681671201</v>
      </c>
      <c r="Q2" s="1">
        <v>0.12621101374844099</v>
      </c>
      <c r="R2" s="1">
        <v>0.13954166032146401</v>
      </c>
      <c r="S2" s="1">
        <v>0.120045734735165</v>
      </c>
      <c r="T2" s="1">
        <v>0.124286543870025</v>
      </c>
      <c r="U2" s="1">
        <v>0.123691173169427</v>
      </c>
      <c r="V2" s="1">
        <v>0.126026618859651</v>
      </c>
      <c r="W2" s="1">
        <v>0.13424101440929601</v>
      </c>
      <c r="X2" s="1">
        <v>0.120482499868592</v>
      </c>
      <c r="Y2" s="1">
        <v>0.123390709205046</v>
      </c>
      <c r="Z2" s="1">
        <v>0.122404314153963</v>
      </c>
      <c r="AA2" s="1">
        <v>0.130556108281186</v>
      </c>
      <c r="AB2" s="1">
        <v>0.12488503501659901</v>
      </c>
      <c r="AC2" s="1">
        <v>0.12607335035915701</v>
      </c>
      <c r="AD2" s="1">
        <f>AVERAGE(C2:AC2)</f>
        <v>0.12577112937435439</v>
      </c>
      <c r="AE2" s="1">
        <f>_xlfn.STDEV.P(C2:AC2)</f>
        <v>5.5877697134738237E-3</v>
      </c>
      <c r="AF2" s="1">
        <f>AE2/AD2</f>
        <v>4.4428079331640391E-2</v>
      </c>
    </row>
    <row r="3" spans="1:32" ht="15" x14ac:dyDescent="0.15">
      <c r="A3" t="s">
        <v>3</v>
      </c>
      <c r="B3" s="4">
        <v>43294.954861111109</v>
      </c>
      <c r="C3" s="1">
        <v>0.20310415759532699</v>
      </c>
      <c r="D3" s="1">
        <v>0.18833974116642899</v>
      </c>
      <c r="E3" s="1">
        <v>0.193223314341324</v>
      </c>
      <c r="F3" s="1">
        <v>0.18127757052013699</v>
      </c>
      <c r="G3" s="1">
        <v>0.191153223381648</v>
      </c>
      <c r="H3" s="1">
        <v>0.20167194415631301</v>
      </c>
      <c r="I3" s="1">
        <v>0.18282297249330601</v>
      </c>
      <c r="J3" s="1">
        <v>0.19105168543395501</v>
      </c>
      <c r="K3" s="1">
        <v>0.20099945778994399</v>
      </c>
      <c r="L3" s="1">
        <v>0.20065333643045299</v>
      </c>
      <c r="M3" s="1">
        <v>0.177884121316426</v>
      </c>
      <c r="N3" s="1">
        <v>0.193647930790012</v>
      </c>
      <c r="O3" s="1">
        <v>0.20135149037191499</v>
      </c>
      <c r="P3" s="1">
        <v>0.196501828527579</v>
      </c>
      <c r="Q3" s="1">
        <v>0.19356846501887201</v>
      </c>
      <c r="R3" s="1">
        <v>0.189060811402055</v>
      </c>
      <c r="S3" s="1">
        <v>0.19557525201227599</v>
      </c>
      <c r="T3" s="1">
        <v>0.19657603201412999</v>
      </c>
      <c r="U3" s="1">
        <v>0.19737301545286401</v>
      </c>
      <c r="V3" s="1">
        <v>0.19014061046872399</v>
      </c>
      <c r="W3" s="1">
        <v>0.18620905951633199</v>
      </c>
      <c r="X3" s="1">
        <v>0.16593613131382301</v>
      </c>
      <c r="Y3" s="1">
        <v>0.192248398988356</v>
      </c>
      <c r="Z3" s="1">
        <v>0.19725506499308801</v>
      </c>
      <c r="AA3" s="1">
        <v>0.20123752444940099</v>
      </c>
      <c r="AB3" s="1">
        <v>0.21020738658271501</v>
      </c>
      <c r="AC3" s="1">
        <v>0.20319881880064899</v>
      </c>
      <c r="AD3" s="1">
        <f>AVERAGE(C3:AC3)</f>
        <v>0.1934173831602983</v>
      </c>
      <c r="AE3" s="1">
        <f>_xlfn.STDEV.P(C3:AC3)</f>
        <v>9.0345144137745585E-3</v>
      </c>
      <c r="AF3" s="1">
        <f>AE3/AD3</f>
        <v>4.6709940265746611E-2</v>
      </c>
    </row>
    <row r="4" spans="1:32" ht="15" x14ac:dyDescent="0.15">
      <c r="A4" t="s">
        <v>3</v>
      </c>
      <c r="B4" s="4">
        <v>43299.520833333336</v>
      </c>
      <c r="C4" s="1">
        <v>0.24381618124542101</v>
      </c>
      <c r="D4" s="1">
        <v>0.24199423108413201</v>
      </c>
      <c r="E4" s="1">
        <v>0.24148064454357299</v>
      </c>
      <c r="F4" s="1">
        <v>0.24914987692594301</v>
      </c>
      <c r="G4" s="1">
        <v>0.235484353288273</v>
      </c>
      <c r="H4" s="1">
        <v>0.245874789886841</v>
      </c>
      <c r="I4" s="1">
        <v>0.239949831203734</v>
      </c>
      <c r="J4" s="1">
        <v>0.25018479628617202</v>
      </c>
      <c r="K4" s="1">
        <v>0.23522937832367299</v>
      </c>
      <c r="L4" s="1">
        <v>0.23975717156364401</v>
      </c>
      <c r="M4" s="1">
        <v>0.24012996766804501</v>
      </c>
      <c r="N4" s="1">
        <v>0.24951617494865</v>
      </c>
      <c r="O4" s="1">
        <v>0.24849910193091301</v>
      </c>
      <c r="P4" s="1">
        <v>0.26088851551604397</v>
      </c>
      <c r="Q4" s="1">
        <v>0.24786248236274799</v>
      </c>
      <c r="R4" s="1">
        <v>0.249455024164077</v>
      </c>
      <c r="S4" s="1">
        <v>0.24287750551030601</v>
      </c>
      <c r="T4" s="1">
        <v>0.24218031632957299</v>
      </c>
      <c r="U4" s="1">
        <v>0.25765002712587998</v>
      </c>
      <c r="V4" s="1">
        <v>0.24136936223445599</v>
      </c>
      <c r="W4" s="1">
        <v>0.24072181988795999</v>
      </c>
      <c r="X4" s="1">
        <v>0.24741195372911701</v>
      </c>
      <c r="Y4" s="1">
        <v>0.24588584781306</v>
      </c>
      <c r="Z4" s="1">
        <v>0.22784984228453301</v>
      </c>
      <c r="AA4" s="1">
        <v>0.24015164540709699</v>
      </c>
      <c r="AB4" s="1">
        <v>0.25908172140754498</v>
      </c>
      <c r="AC4" s="1">
        <v>0.24017372286251501</v>
      </c>
      <c r="AD4" s="1">
        <f>AVERAGE(C4:AC4)</f>
        <v>0.24461578835310835</v>
      </c>
      <c r="AE4" s="1">
        <f>_xlfn.STDEV.P(C4:AC4)</f>
        <v>7.17335481985505E-3</v>
      </c>
      <c r="AF4" s="1">
        <f>AE4/AD4</f>
        <v>2.932498702618554E-2</v>
      </c>
    </row>
    <row r="5" spans="1:32" ht="15" x14ac:dyDescent="0.15">
      <c r="A5" t="s">
        <v>3</v>
      </c>
      <c r="B5" s="4">
        <v>43304.659722222219</v>
      </c>
      <c r="C5" s="1">
        <v>0.22560450814800501</v>
      </c>
      <c r="D5" s="1">
        <v>0.23168868114501101</v>
      </c>
      <c r="E5" s="1">
        <v>0.231827289965156</v>
      </c>
      <c r="F5" s="1">
        <v>0.253537290374233</v>
      </c>
      <c r="G5" s="1">
        <v>0.221173517055644</v>
      </c>
      <c r="H5" s="1">
        <v>0.23429941133988799</v>
      </c>
      <c r="I5" s="1">
        <v>0.21710536281263801</v>
      </c>
      <c r="J5" s="1">
        <v>0.24320263781156501</v>
      </c>
      <c r="K5" s="1">
        <v>0.222041253651479</v>
      </c>
      <c r="L5" s="1">
        <v>0.25306852895391302</v>
      </c>
      <c r="M5" s="1">
        <v>0.24612887541224701</v>
      </c>
      <c r="N5" s="1">
        <v>0.24660120939324401</v>
      </c>
      <c r="O5" s="1">
        <v>0.26059994620862198</v>
      </c>
      <c r="P5" s="1">
        <v>0.25042359669679398</v>
      </c>
      <c r="Q5" s="1">
        <v>0.21469118165493301</v>
      </c>
      <c r="R5" s="1">
        <v>0.24277996819487399</v>
      </c>
      <c r="S5" s="1">
        <v>0.21235747646578901</v>
      </c>
      <c r="T5" s="1">
        <v>0.25040588411585901</v>
      </c>
      <c r="U5" s="1">
        <v>0.24179217063167199</v>
      </c>
      <c r="V5" s="1">
        <v>0.23563841034182401</v>
      </c>
      <c r="W5" s="1">
        <v>0.222354166503692</v>
      </c>
      <c r="X5" s="1">
        <v>0.23841992866873299</v>
      </c>
      <c r="Y5" s="1">
        <v>0.24332250778952599</v>
      </c>
      <c r="Z5" s="1">
        <v>0.220540474702168</v>
      </c>
      <c r="AA5" s="1">
        <v>0.225946139385824</v>
      </c>
      <c r="AB5" s="1">
        <v>0.24973010112864499</v>
      </c>
      <c r="AC5" s="1">
        <v>0.230973992789653</v>
      </c>
      <c r="AD5" s="1">
        <f>AVERAGE(C5:AC5)</f>
        <v>0.23578720412376414</v>
      </c>
      <c r="AE5" s="1">
        <f>_xlfn.STDEV.P(C5:AC5)</f>
        <v>1.3188251119298181E-2</v>
      </c>
      <c r="AF5" s="1">
        <f>AE5/AD5</f>
        <v>5.5932853389175856E-2</v>
      </c>
    </row>
    <row r="6" spans="1:32" ht="15" x14ac:dyDescent="0.15">
      <c r="A6" t="s">
        <v>3</v>
      </c>
      <c r="B6" s="4">
        <v>43306.802083333336</v>
      </c>
      <c r="C6" s="1">
        <v>0.17815803867541299</v>
      </c>
      <c r="D6" s="1">
        <v>0.187828795041841</v>
      </c>
      <c r="E6" s="1">
        <v>0.177358064184968</v>
      </c>
      <c r="F6" s="1">
        <v>0.17613730978626799</v>
      </c>
      <c r="G6" s="1">
        <v>0.18044146514627099</v>
      </c>
      <c r="H6" s="1">
        <v>0.19100170584392701</v>
      </c>
      <c r="I6" s="1">
        <v>0.173028478503714</v>
      </c>
      <c r="J6" s="1">
        <v>0.18113182243359899</v>
      </c>
      <c r="K6" s="1">
        <v>0.178054314744993</v>
      </c>
      <c r="L6" s="1">
        <v>0.20226728159624199</v>
      </c>
      <c r="M6" s="1">
        <v>0.17577402334372799</v>
      </c>
      <c r="N6" s="1">
        <v>0.18383840831680701</v>
      </c>
      <c r="O6" s="1">
        <v>0.17900070043959601</v>
      </c>
      <c r="P6" s="1">
        <v>0.21190623716979901</v>
      </c>
      <c r="Q6" s="1">
        <v>0.18739342771263701</v>
      </c>
      <c r="R6" s="1">
        <v>0.16887868914555801</v>
      </c>
      <c r="S6" s="1">
        <v>0.18206665658746299</v>
      </c>
      <c r="T6" s="1">
        <v>0.162401095376145</v>
      </c>
      <c r="U6" s="1">
        <v>0.190633789283112</v>
      </c>
      <c r="V6" s="1">
        <v>0.194310165117208</v>
      </c>
      <c r="W6" s="1">
        <v>0.18107279458051401</v>
      </c>
      <c r="X6" s="1">
        <v>0.15157172840104199</v>
      </c>
      <c r="Y6" s="1">
        <v>0.170727515054479</v>
      </c>
      <c r="Z6" s="1">
        <v>0.18770457065092899</v>
      </c>
      <c r="AA6" s="1">
        <v>0.18162287794290399</v>
      </c>
      <c r="AB6" s="1">
        <v>0.19677941697121501</v>
      </c>
      <c r="AC6" s="1">
        <v>0.18720929135352499</v>
      </c>
      <c r="AD6" s="1">
        <f>AVERAGE(C6:AC6)</f>
        <v>0.18215920975569985</v>
      </c>
      <c r="AE6" s="1">
        <f>_xlfn.STDEV.P(C6:AC6)</f>
        <v>1.1838490905449976E-2</v>
      </c>
      <c r="AF6" s="1">
        <f>AE6/AD6</f>
        <v>6.4989801620939147E-2</v>
      </c>
    </row>
    <row r="7" spans="1:32" ht="15" x14ac:dyDescent="0.15">
      <c r="A7" t="s">
        <v>3</v>
      </c>
      <c r="B7" s="4">
        <v>43313.333333333336</v>
      </c>
      <c r="C7" s="1">
        <v>0.17324569868953801</v>
      </c>
      <c r="D7" s="1">
        <v>0.15276242724640399</v>
      </c>
      <c r="E7" s="1">
        <v>0.156540561122926</v>
      </c>
      <c r="F7" s="1">
        <v>0.14799713410866899</v>
      </c>
      <c r="G7" s="1">
        <v>0.159702226135959</v>
      </c>
      <c r="H7" s="1">
        <v>0.16975506374007199</v>
      </c>
      <c r="I7" s="1">
        <v>0.161128786270477</v>
      </c>
      <c r="J7" s="1">
        <v>0.152914323216362</v>
      </c>
      <c r="K7" s="1">
        <v>0.16326753017067</v>
      </c>
      <c r="L7" s="1">
        <v>0.17749548791400299</v>
      </c>
      <c r="M7" s="1">
        <v>0.14595786144690001</v>
      </c>
      <c r="N7" s="1">
        <v>0.17439000422490999</v>
      </c>
      <c r="O7" s="1">
        <v>0.16739588830030899</v>
      </c>
      <c r="P7" s="1">
        <v>0.16671910544278701</v>
      </c>
      <c r="Q7" s="1">
        <v>0.15925585966065001</v>
      </c>
      <c r="R7" s="1">
        <v>0.163879469437062</v>
      </c>
      <c r="S7" s="1">
        <v>0.17370390341816699</v>
      </c>
      <c r="T7" s="1">
        <v>0.14309611009713899</v>
      </c>
      <c r="U7" s="1">
        <v>0.17025788486941201</v>
      </c>
      <c r="V7" s="1">
        <v>0.17011841777483799</v>
      </c>
      <c r="W7" s="1">
        <v>0.16054061606310299</v>
      </c>
      <c r="X7" s="1">
        <v>0.133013314727673</v>
      </c>
      <c r="Y7" s="1">
        <v>0.156882146072364</v>
      </c>
      <c r="Z7" s="1">
        <v>0.17664941854070099</v>
      </c>
      <c r="AA7" s="1">
        <v>0.170399423534313</v>
      </c>
      <c r="AB7" s="1">
        <v>0.175507039040671</v>
      </c>
      <c r="AC7" s="1">
        <v>0.155727318408829</v>
      </c>
      <c r="AD7" s="1">
        <f>AVERAGE(C7:AC7)</f>
        <v>0.16215937109907064</v>
      </c>
      <c r="AE7" s="1">
        <f>_xlfn.STDEV.P(C7:AC7)</f>
        <v>1.1063265160913658E-2</v>
      </c>
      <c r="AF7" s="1">
        <f>AE7/AD7</f>
        <v>6.8224642744541722E-2</v>
      </c>
    </row>
    <row r="8" spans="1:32" ht="15" x14ac:dyDescent="0.15">
      <c r="A8" t="s">
        <v>3</v>
      </c>
      <c r="B8" s="4">
        <v>43315.666666666664</v>
      </c>
      <c r="C8" s="1">
        <v>0.193277338570675</v>
      </c>
      <c r="D8" s="1">
        <v>0.17380388836302499</v>
      </c>
      <c r="E8" s="1">
        <v>0.167937769241192</v>
      </c>
      <c r="F8" s="1">
        <v>0.19218531826957599</v>
      </c>
      <c r="G8" s="1">
        <v>0.17376564686080301</v>
      </c>
      <c r="H8" s="1">
        <v>0.181058632482128</v>
      </c>
      <c r="I8" s="1">
        <v>0.175681507456213</v>
      </c>
      <c r="J8" s="1">
        <v>0.18844492904510399</v>
      </c>
      <c r="K8" s="1">
        <v>0.19076247137205499</v>
      </c>
      <c r="L8" s="1">
        <v>0.200649844994232</v>
      </c>
      <c r="M8" s="1">
        <v>0.16731463705181099</v>
      </c>
      <c r="N8" s="1">
        <v>0.191776757995131</v>
      </c>
      <c r="O8" s="1">
        <v>0.180374484267455</v>
      </c>
      <c r="P8" s="1">
        <v>0.19650137869673501</v>
      </c>
      <c r="Q8" s="1">
        <v>0.18183857597195999</v>
      </c>
      <c r="R8" s="1">
        <v>0.17718261617223399</v>
      </c>
      <c r="S8" s="1">
        <v>0.18247734671760901</v>
      </c>
      <c r="T8" s="1">
        <v>0.15040765498985301</v>
      </c>
      <c r="U8" s="1">
        <v>0.18179328440013601</v>
      </c>
      <c r="V8" s="1">
        <v>0.194821712250627</v>
      </c>
      <c r="W8" s="1">
        <v>0.17759128624658799</v>
      </c>
      <c r="X8" s="1">
        <v>0.15814589468537499</v>
      </c>
      <c r="Y8" s="1">
        <v>0.18701045566445801</v>
      </c>
      <c r="Z8" s="1">
        <v>0.18601351701046501</v>
      </c>
      <c r="AA8" s="1">
        <v>0.184231887881252</v>
      </c>
      <c r="AB8" s="1">
        <v>0.19798733222482801</v>
      </c>
      <c r="AC8" s="1">
        <v>0.190081618113215</v>
      </c>
      <c r="AD8" s="1">
        <f>AVERAGE(C8:AC8)</f>
        <v>0.18233769581461978</v>
      </c>
      <c r="AE8" s="1">
        <f>_xlfn.STDEV.P(C8:AC8)</f>
        <v>1.1758719004052665E-2</v>
      </c>
      <c r="AF8" s="1">
        <f>AE8/AD8</f>
        <v>6.4488689250562822E-2</v>
      </c>
    </row>
    <row r="9" spans="1:32" ht="15" x14ac:dyDescent="0.15">
      <c r="A9" t="s">
        <v>3</v>
      </c>
      <c r="B9" s="4">
        <v>43324.409722222219</v>
      </c>
      <c r="C9" s="1">
        <v>0.18623001939228201</v>
      </c>
      <c r="D9" s="1">
        <v>0.181540481598681</v>
      </c>
      <c r="E9" s="1">
        <v>0.15971090477077299</v>
      </c>
      <c r="F9" s="1">
        <v>0.18184186588002299</v>
      </c>
      <c r="G9" s="1">
        <v>0.17878546855687499</v>
      </c>
      <c r="H9" s="1">
        <v>0.18570681335537501</v>
      </c>
      <c r="I9" s="1">
        <v>0.166403641887236</v>
      </c>
      <c r="J9" s="1">
        <v>0.19993924712090599</v>
      </c>
      <c r="K9" s="1">
        <v>0.17929254879671</v>
      </c>
      <c r="L9" s="1">
        <v>0.18983339662732701</v>
      </c>
      <c r="M9" s="1">
        <v>0.157688645949245</v>
      </c>
      <c r="N9" s="1">
        <v>0.19797975616250399</v>
      </c>
      <c r="O9" s="1">
        <v>0.185307005626862</v>
      </c>
      <c r="P9" s="1">
        <v>0.175940115786515</v>
      </c>
      <c r="Q9" s="1">
        <v>0.18896698894622899</v>
      </c>
      <c r="R9" s="1">
        <v>0.17193575854484899</v>
      </c>
      <c r="S9" s="1">
        <v>0.17411116521909001</v>
      </c>
      <c r="T9" s="1">
        <v>0.15962859802288501</v>
      </c>
      <c r="U9" s="1">
        <v>0.17644029722283999</v>
      </c>
      <c r="V9" s="1">
        <v>0.18502787183112801</v>
      </c>
      <c r="W9" s="1">
        <v>0.185195928825098</v>
      </c>
      <c r="X9" s="1">
        <v>0.15461600317138499</v>
      </c>
      <c r="Y9" s="1">
        <v>0.17836958867060601</v>
      </c>
      <c r="Z9" s="1">
        <v>0.18525659949680001</v>
      </c>
      <c r="AA9" s="1">
        <v>0.1950047553333</v>
      </c>
      <c r="AB9" s="1">
        <v>0.18260832056871401</v>
      </c>
      <c r="AC9" s="1">
        <v>0.179684575933969</v>
      </c>
      <c r="AD9" s="1">
        <f>AVERAGE(C9:AC9)</f>
        <v>0.17937208752956318</v>
      </c>
      <c r="AE9" s="1">
        <f>_xlfn.STDEV.P(C9:AC9)</f>
        <v>1.1533706042633814E-2</v>
      </c>
      <c r="AF9" s="1">
        <f>AE9/AD9</f>
        <v>6.430045054101792E-2</v>
      </c>
    </row>
    <row r="10" spans="1:32" ht="15" x14ac:dyDescent="0.15">
      <c r="A10" t="s">
        <v>3</v>
      </c>
      <c r="B10" s="4">
        <v>43346.197916666664</v>
      </c>
      <c r="C10" s="1">
        <v>0.23983875002076699</v>
      </c>
      <c r="D10" s="1">
        <v>0.244072123007503</v>
      </c>
      <c r="E10" s="1">
        <v>0.236301753487592</v>
      </c>
      <c r="F10" s="1">
        <v>0.26574405866989598</v>
      </c>
      <c r="G10" s="1">
        <v>0.23792835004308899</v>
      </c>
      <c r="H10" s="1">
        <v>0.242967425248896</v>
      </c>
      <c r="I10" s="1">
        <v>0.25264371130988</v>
      </c>
      <c r="J10" s="1">
        <v>0.26624953926042499</v>
      </c>
      <c r="K10" s="1">
        <v>0.23825287813356499</v>
      </c>
      <c r="L10" s="1">
        <v>0.23225739740733101</v>
      </c>
      <c r="M10" s="1">
        <v>0.26709858732159603</v>
      </c>
      <c r="N10" s="1">
        <v>0.25405741202946802</v>
      </c>
      <c r="O10" s="1">
        <v>0.24243821989342801</v>
      </c>
      <c r="P10" s="1">
        <v>0.22792337516418901</v>
      </c>
      <c r="Q10" s="1">
        <v>0.24914898560513599</v>
      </c>
      <c r="R10" s="1">
        <v>0.26000651692664101</v>
      </c>
      <c r="S10" s="1">
        <v>0.23529338508156999</v>
      </c>
      <c r="T10" s="1">
        <v>0.24707321808306901</v>
      </c>
      <c r="U10" s="1">
        <v>0.25091459808461902</v>
      </c>
      <c r="V10" s="1">
        <v>0.23329852724795599</v>
      </c>
      <c r="W10" s="1">
        <v>0.22869048073902001</v>
      </c>
      <c r="X10" s="1">
        <v>0.233537835509422</v>
      </c>
      <c r="Y10" s="1">
        <v>0.26064416639066301</v>
      </c>
      <c r="Z10" s="1">
        <v>0.248886656688006</v>
      </c>
      <c r="AA10" s="1">
        <v>0.25611644366393099</v>
      </c>
      <c r="AB10" s="1">
        <v>0.25000973991235897</v>
      </c>
      <c r="AC10" s="1">
        <v>0.226701356389199</v>
      </c>
      <c r="AD10" s="1">
        <f>AVERAGE(C10:AC10)</f>
        <v>0.24548501819700805</v>
      </c>
      <c r="AE10" s="1">
        <f>_xlfn.STDEV.P(C10:AC10)</f>
        <v>1.1896563314616982E-2</v>
      </c>
      <c r="AF10" s="1">
        <f>AE10/AD10</f>
        <v>4.8461463766679577E-2</v>
      </c>
    </row>
    <row r="11" spans="1:32" ht="15" x14ac:dyDescent="0.15">
      <c r="A11" t="s">
        <v>3</v>
      </c>
      <c r="B11" s="4">
        <v>43369.951388888891</v>
      </c>
      <c r="C11" s="1">
        <v>0.142467482827416</v>
      </c>
      <c r="D11" s="1">
        <v>0.13032969448720999</v>
      </c>
      <c r="E11" s="1">
        <v>0.142437665711176</v>
      </c>
      <c r="F11" s="1">
        <v>0.14960031345590299</v>
      </c>
      <c r="G11" s="1">
        <v>0.12949148699159299</v>
      </c>
      <c r="H11" s="1">
        <v>0.13752893142294401</v>
      </c>
      <c r="I11" s="1">
        <v>0.15526603076063</v>
      </c>
      <c r="J11" s="1">
        <v>0.13812029770984999</v>
      </c>
      <c r="K11" s="1">
        <v>0.13126162258349799</v>
      </c>
      <c r="L11" s="1">
        <v>0.14350074478910699</v>
      </c>
      <c r="M11" s="1">
        <v>0.152241832199695</v>
      </c>
      <c r="N11" s="1">
        <v>0.14285433837498199</v>
      </c>
      <c r="O11" s="1">
        <v>0.137853740193015</v>
      </c>
      <c r="P11" s="1">
        <v>0.14660502486032001</v>
      </c>
      <c r="Q11" s="1">
        <v>0.14050068821725301</v>
      </c>
      <c r="R11" s="1">
        <v>0.14621233688278901</v>
      </c>
      <c r="S11" s="1">
        <v>0.14217643606959501</v>
      </c>
      <c r="T11" s="1">
        <v>0.13251779412572601</v>
      </c>
      <c r="U11" s="1">
        <v>0.13306729361626901</v>
      </c>
      <c r="V11" s="1">
        <v>0.13781762809335199</v>
      </c>
      <c r="W11" s="1">
        <v>0.14377410154914899</v>
      </c>
      <c r="X11" s="1">
        <v>0.12788474349635001</v>
      </c>
      <c r="Y11" s="1">
        <v>0.13013005783164699</v>
      </c>
      <c r="Z11" s="1">
        <v>0.12933795252491201</v>
      </c>
      <c r="AA11" s="1">
        <v>0.14202942572729099</v>
      </c>
      <c r="AB11" s="1">
        <v>0.13878212888713201</v>
      </c>
      <c r="AC11" s="1">
        <v>0.134577519771405</v>
      </c>
      <c r="AD11" s="1">
        <f>AVERAGE(C11:AC11)</f>
        <v>0.13919878937630406</v>
      </c>
      <c r="AE11" s="1">
        <f>_xlfn.STDEV.P(C11:AC11)</f>
        <v>7.1695569039264568E-3</v>
      </c>
      <c r="AF11" s="1">
        <f>AE11/AD11</f>
        <v>5.1505885475372798E-2</v>
      </c>
    </row>
    <row r="12" spans="1:32" ht="15" x14ac:dyDescent="0.15">
      <c r="A12" t="s">
        <v>3</v>
      </c>
      <c r="B12" s="5">
        <v>43587.746527777781</v>
      </c>
      <c r="C12" s="1">
        <v>0.17892903950779401</v>
      </c>
      <c r="D12" s="1">
        <v>0.16620579390562801</v>
      </c>
      <c r="E12" s="1">
        <v>0.16276632297407401</v>
      </c>
      <c r="F12" s="1">
        <v>0.170127984913231</v>
      </c>
      <c r="G12" s="1">
        <v>0.16404699632741701</v>
      </c>
      <c r="H12" s="1">
        <v>0.16948643311245501</v>
      </c>
      <c r="I12" s="1">
        <v>0.15857896338095601</v>
      </c>
      <c r="J12" s="1">
        <v>0.150666540810941</v>
      </c>
      <c r="K12" s="1">
        <v>0.17062352207034001</v>
      </c>
      <c r="L12" s="1">
        <v>0.186877835745246</v>
      </c>
      <c r="M12" s="1">
        <v>0.14717093875077</v>
      </c>
      <c r="N12" s="1">
        <v>0.16813302148242101</v>
      </c>
      <c r="O12" s="1">
        <v>0.172296691120226</v>
      </c>
      <c r="P12" s="1">
        <v>0.183290992863124</v>
      </c>
      <c r="Q12" s="1">
        <v>0.16988662902332899</v>
      </c>
      <c r="R12" s="1">
        <v>0.158550145031538</v>
      </c>
      <c r="S12" s="1">
        <v>0.17928026412369699</v>
      </c>
      <c r="T12" s="1">
        <v>0.156055879726132</v>
      </c>
      <c r="U12" s="1">
        <v>0.18672722191042301</v>
      </c>
      <c r="V12" s="1">
        <v>0.167893122045147</v>
      </c>
      <c r="W12" s="1">
        <v>0.16768912795372501</v>
      </c>
      <c r="X12" s="1">
        <v>0.13955308787748999</v>
      </c>
      <c r="Y12" s="1">
        <v>0.16737647575853501</v>
      </c>
      <c r="Z12" s="1">
        <v>0.175486457482846</v>
      </c>
      <c r="AA12" s="1">
        <v>0.16828502054612901</v>
      </c>
      <c r="AB12" s="1">
        <v>0.182956309739531</v>
      </c>
      <c r="AC12" s="1">
        <v>0.16540751265811601</v>
      </c>
      <c r="AD12" s="1">
        <f>AVERAGE(C12:AC12)</f>
        <v>0.16793882706819488</v>
      </c>
      <c r="AE12" s="1">
        <f>_xlfn.STDEV.P(C12:AC12)</f>
        <v>1.1255714135567401E-2</v>
      </c>
      <c r="AF12" s="1">
        <f>AE12/AD12</f>
        <v>6.7022703040535092E-2</v>
      </c>
    </row>
    <row r="13" spans="1:32" ht="15" x14ac:dyDescent="0.15">
      <c r="A13" t="s">
        <v>3</v>
      </c>
      <c r="B13" s="5">
        <v>43592.670138888891</v>
      </c>
      <c r="C13" s="1">
        <v>0.18520985509269999</v>
      </c>
      <c r="D13" s="1">
        <v>0.16917910679001</v>
      </c>
      <c r="E13" s="1">
        <v>0.16772315184335099</v>
      </c>
      <c r="F13" s="1">
        <v>0.17834609059987599</v>
      </c>
      <c r="G13" s="1">
        <v>0.16983208492743601</v>
      </c>
      <c r="H13" s="1">
        <v>0.178738894441614</v>
      </c>
      <c r="I13" s="1">
        <v>0.17064534865481401</v>
      </c>
      <c r="J13" s="1">
        <v>0.17620676574882899</v>
      </c>
      <c r="K13" s="1">
        <v>0.177922958266343</v>
      </c>
      <c r="L13" s="1">
        <v>0.191107610990355</v>
      </c>
      <c r="M13" s="1">
        <v>0.17360910369601201</v>
      </c>
      <c r="N13" s="1">
        <v>0.186294825544673</v>
      </c>
      <c r="O13" s="1">
        <v>0.18348482674247499</v>
      </c>
      <c r="P13" s="1">
        <v>0.178927804940028</v>
      </c>
      <c r="Q13" s="1">
        <v>0.181597461491985</v>
      </c>
      <c r="R13" s="1">
        <v>0.16964829488688399</v>
      </c>
      <c r="S13" s="1">
        <v>0.18035882883752</v>
      </c>
      <c r="T13" s="1">
        <v>0.16774782582039999</v>
      </c>
      <c r="U13" s="1">
        <v>0.18504930800021499</v>
      </c>
      <c r="V13" s="1">
        <v>0.18691757439427401</v>
      </c>
      <c r="W13" s="1">
        <v>0.172654134996756</v>
      </c>
      <c r="X13" s="1">
        <v>0.14719065104374399</v>
      </c>
      <c r="Y13" s="1">
        <v>0.18324692088608499</v>
      </c>
      <c r="Z13" s="1">
        <v>0.182028693607488</v>
      </c>
      <c r="AA13" s="1">
        <v>0.189715809336687</v>
      </c>
      <c r="AB13" s="1">
        <v>0.19165339104975301</v>
      </c>
      <c r="AC13" s="1">
        <v>0.19143365640190499</v>
      </c>
      <c r="AD13" s="1">
        <f>AVERAGE(C13:AC13)</f>
        <v>0.17838781403823006</v>
      </c>
      <c r="AE13" s="1">
        <f>_xlfn.STDEV.P(C13:AC13)</f>
        <v>9.6131598398711722E-3</v>
      </c>
      <c r="AF13" s="1">
        <f>AE13/AD13</f>
        <v>5.3889106112433152E-2</v>
      </c>
    </row>
    <row r="14" spans="1:32" ht="15" x14ac:dyDescent="0.15">
      <c r="A14" t="s">
        <v>3</v>
      </c>
      <c r="B14" s="5">
        <v>43622.885416666664</v>
      </c>
      <c r="C14" s="1">
        <v>0.21539176476046101</v>
      </c>
      <c r="D14" s="1">
        <v>0.21230037598225299</v>
      </c>
      <c r="E14" s="1">
        <v>0.19814939194713399</v>
      </c>
      <c r="F14" s="1">
        <v>0.204780138132555</v>
      </c>
      <c r="G14" s="1">
        <v>0.21470319603792901</v>
      </c>
      <c r="H14" s="1">
        <v>0.20426967866440501</v>
      </c>
      <c r="I14" s="1">
        <v>0.18167619131464999</v>
      </c>
      <c r="J14" s="1">
        <v>0.20004841467906601</v>
      </c>
      <c r="K14" s="1">
        <v>0.20305035634624699</v>
      </c>
      <c r="L14" s="1">
        <v>0.24808866469199001</v>
      </c>
      <c r="M14" s="1">
        <v>0.17749827906046001</v>
      </c>
      <c r="N14" s="1">
        <v>0.19430528505832501</v>
      </c>
      <c r="O14" s="1">
        <v>0.179414684483615</v>
      </c>
      <c r="P14" s="1">
        <v>0.21736278086032901</v>
      </c>
      <c r="Q14" s="1">
        <v>0.211403334604467</v>
      </c>
      <c r="R14" s="1">
        <v>0.17595898411903399</v>
      </c>
      <c r="S14" s="1">
        <v>0.237207671575239</v>
      </c>
      <c r="T14" s="1">
        <v>0.159213213204597</v>
      </c>
      <c r="U14" s="1">
        <v>0.206309895263462</v>
      </c>
      <c r="V14" s="1">
        <v>0.21114268019884</v>
      </c>
      <c r="W14" s="1">
        <v>0.21096296333157299</v>
      </c>
      <c r="X14" s="1">
        <v>0.159726096468149</v>
      </c>
      <c r="Y14" s="1">
        <v>0.21470780319593999</v>
      </c>
      <c r="Z14" s="1">
        <v>0.191906915956508</v>
      </c>
      <c r="AA14" s="1">
        <v>0.182666105510772</v>
      </c>
      <c r="AB14" s="1">
        <v>0.21836480211057799</v>
      </c>
      <c r="AC14" s="1">
        <v>0.20221439437702801</v>
      </c>
      <c r="AD14" s="1">
        <f>AVERAGE(C14:AC14)</f>
        <v>0.20121570599761504</v>
      </c>
      <c r="AE14" s="1">
        <f>_xlfn.STDEV.P(C14:AC14)</f>
        <v>2.0291519167461875E-2</v>
      </c>
      <c r="AF14" s="1">
        <f>AE14/AD14</f>
        <v>0.10084460885822892</v>
      </c>
    </row>
    <row r="15" spans="1:32" ht="15" x14ac:dyDescent="0.15">
      <c r="A15" t="s">
        <v>3</v>
      </c>
      <c r="B15" s="5">
        <v>43624.8125</v>
      </c>
      <c r="C15" s="1">
        <v>0.19189105194177999</v>
      </c>
      <c r="D15" s="1">
        <v>0.17133566109441101</v>
      </c>
      <c r="E15" s="1">
        <v>0.170779140634361</v>
      </c>
      <c r="F15" s="1">
        <v>0.190521327059653</v>
      </c>
      <c r="G15" s="1">
        <v>0.17041287858972401</v>
      </c>
      <c r="H15" s="1">
        <v>0.182965998422354</v>
      </c>
      <c r="I15" s="1">
        <v>0.17096869168699</v>
      </c>
      <c r="J15" s="1">
        <v>0.17969947277589601</v>
      </c>
      <c r="K15" s="1">
        <v>0.18877033383247299</v>
      </c>
      <c r="L15" s="1">
        <v>0.203696841765588</v>
      </c>
      <c r="M15" s="1">
        <v>0.171779018568914</v>
      </c>
      <c r="N15" s="1">
        <v>0.18832921729619501</v>
      </c>
      <c r="O15" s="1">
        <v>0.17712811753451399</v>
      </c>
      <c r="P15" s="1">
        <v>0.19524572056924899</v>
      </c>
      <c r="Q15" s="1">
        <v>0.18240556713944001</v>
      </c>
      <c r="R15" s="1">
        <v>0.17689328935443199</v>
      </c>
      <c r="S15" s="1">
        <v>0.17792118090732501</v>
      </c>
      <c r="T15" s="1">
        <v>0.15662241370806601</v>
      </c>
      <c r="U15" s="1">
        <v>0.182278616356297</v>
      </c>
      <c r="V15" s="1">
        <v>0.194608696963392</v>
      </c>
      <c r="W15" s="1">
        <v>0.17491702284607699</v>
      </c>
      <c r="X15" s="1">
        <v>0.157708840532223</v>
      </c>
      <c r="Y15" s="1">
        <v>0.18432799550996101</v>
      </c>
      <c r="Z15" s="1">
        <v>0.17840857505119601</v>
      </c>
      <c r="AA15" s="1">
        <v>0.18093883614550699</v>
      </c>
      <c r="AB15" s="1">
        <v>0.192340377091097</v>
      </c>
      <c r="AC15" s="1">
        <v>0.179134903834264</v>
      </c>
      <c r="AD15" s="1">
        <f>AVERAGE(C15:AC15)</f>
        <v>0.1804455476744955</v>
      </c>
      <c r="AE15" s="1">
        <f>_xlfn.STDEV.P(C15:AC15)</f>
        <v>1.0694553058996773E-2</v>
      </c>
      <c r="AF15" s="1">
        <f>AE15/AD15</f>
        <v>5.9267480948261494E-2</v>
      </c>
    </row>
    <row r="16" spans="1:32" ht="15" x14ac:dyDescent="0.15">
      <c r="A16" t="s">
        <v>3</v>
      </c>
      <c r="B16" s="5">
        <v>43632</v>
      </c>
      <c r="C16" s="1">
        <v>0.21626829220677701</v>
      </c>
      <c r="D16" s="1">
        <v>0.21973407622041</v>
      </c>
      <c r="E16" s="1">
        <v>0.22394569478572399</v>
      </c>
      <c r="F16" s="1">
        <v>0.24576342605550999</v>
      </c>
      <c r="G16" s="1">
        <v>0.214690760236255</v>
      </c>
      <c r="H16" s="1">
        <v>0.22326357426575599</v>
      </c>
      <c r="I16" s="1">
        <v>0.22818230423289801</v>
      </c>
      <c r="J16" s="1">
        <v>0.22831675402648799</v>
      </c>
      <c r="K16" s="1">
        <v>0.22660910161561701</v>
      </c>
      <c r="L16" s="1">
        <v>0.22445347216763201</v>
      </c>
      <c r="M16" s="1">
        <v>0.223529542657779</v>
      </c>
      <c r="N16" s="1">
        <v>0.22716554367271999</v>
      </c>
      <c r="O16" s="1">
        <v>0.241419190363164</v>
      </c>
      <c r="P16" s="1">
        <v>0.221938330279768</v>
      </c>
      <c r="Q16" s="1">
        <v>0.221080694077466</v>
      </c>
      <c r="R16" s="1">
        <v>0.23794845258341801</v>
      </c>
      <c r="S16" s="1">
        <v>0.220428360553442</v>
      </c>
      <c r="T16" s="1">
        <v>0.229326092817324</v>
      </c>
      <c r="U16" s="1">
        <v>0.22300990516514699</v>
      </c>
      <c r="V16" s="1">
        <v>0.22374131636184799</v>
      </c>
      <c r="W16" s="1">
        <v>0.21080560030755199</v>
      </c>
      <c r="X16" s="1">
        <v>0.218511083868179</v>
      </c>
      <c r="Y16" s="1">
        <v>0.227357615116768</v>
      </c>
      <c r="Z16" s="1">
        <v>0.20355220304077301</v>
      </c>
      <c r="AA16" s="1">
        <v>0.22883944777158099</v>
      </c>
      <c r="AB16" s="1">
        <v>0.234366218405202</v>
      </c>
      <c r="AC16" s="1">
        <v>0.223671282268918</v>
      </c>
      <c r="AD16" s="1">
        <f>AVERAGE(C16:AC16)</f>
        <v>0.22473771611570803</v>
      </c>
      <c r="AE16" s="1">
        <f>_xlfn.STDEV.P(C16:AC16)</f>
        <v>8.5959571266020843E-3</v>
      </c>
      <c r="AF16" s="1">
        <f>AE16/AD16</f>
        <v>3.8248840805058221E-2</v>
      </c>
    </row>
    <row r="17" spans="1:32" ht="15" x14ac:dyDescent="0.15">
      <c r="A17" t="s">
        <v>3</v>
      </c>
      <c r="B17" s="5">
        <v>43652.704861111109</v>
      </c>
      <c r="C17" s="1">
        <v>0.20409643545526401</v>
      </c>
      <c r="D17" s="1">
        <v>0.21258166965855499</v>
      </c>
      <c r="E17" s="1">
        <v>0.201893646813054</v>
      </c>
      <c r="F17" s="1">
        <v>0.23478114507431799</v>
      </c>
      <c r="G17" s="1">
        <v>0.20643431704701901</v>
      </c>
      <c r="H17" s="1">
        <v>0.20405877884450799</v>
      </c>
      <c r="I17" s="1">
        <v>0.218817740620809</v>
      </c>
      <c r="J17" s="1">
        <v>0.219782904804524</v>
      </c>
      <c r="K17" s="1">
        <v>0.21052274726037201</v>
      </c>
      <c r="L17" s="1">
        <v>0.216674092116768</v>
      </c>
      <c r="M17" s="1">
        <v>0.22214376411181899</v>
      </c>
      <c r="N17" s="1">
        <v>0.213588340159757</v>
      </c>
      <c r="O17" s="1">
        <v>0.230470066612666</v>
      </c>
      <c r="P17" s="1">
        <v>0.20705120779951899</v>
      </c>
      <c r="Q17" s="1">
        <v>0.20833224597248901</v>
      </c>
      <c r="R17" s="1">
        <v>0.212602146861884</v>
      </c>
      <c r="S17" s="1">
        <v>0.203355337059933</v>
      </c>
      <c r="T17" s="1">
        <v>0.22974304331422199</v>
      </c>
      <c r="U17" s="1">
        <v>0.19823952389282001</v>
      </c>
      <c r="V17" s="1">
        <v>0.205205339479998</v>
      </c>
      <c r="W17" s="1">
        <v>0.197596652836768</v>
      </c>
      <c r="X17" s="1">
        <v>0.194578772340357</v>
      </c>
      <c r="Y17" s="1">
        <v>0.20242122273929</v>
      </c>
      <c r="Z17" s="1">
        <v>0.20880783501719999</v>
      </c>
      <c r="AA17" s="1">
        <v>0.21905117873354399</v>
      </c>
      <c r="AB17" s="1">
        <v>0.22702334512157299</v>
      </c>
      <c r="AC17" s="1">
        <v>0.209066231190738</v>
      </c>
      <c r="AD17" s="1">
        <f>AVERAGE(C17:AC17)</f>
        <v>0.21181184188665803</v>
      </c>
      <c r="AE17" s="1">
        <f>_xlfn.STDEV.P(C17:AC17)</f>
        <v>1.0390432248594744E-2</v>
      </c>
      <c r="AF17" s="1">
        <f>AE17/AD17</f>
        <v>4.9055011070413782E-2</v>
      </c>
    </row>
    <row r="18" spans="1:32" ht="15" x14ac:dyDescent="0.15">
      <c r="A18" t="s">
        <v>3</v>
      </c>
      <c r="B18" s="5">
        <v>43653.791666666664</v>
      </c>
      <c r="C18" s="1">
        <v>0.22226155027927</v>
      </c>
      <c r="D18" s="1">
        <v>0.24056198495971801</v>
      </c>
      <c r="E18" s="1">
        <v>0.224206843353119</v>
      </c>
      <c r="F18" s="1">
        <v>0.247844292026175</v>
      </c>
      <c r="G18" s="1">
        <v>0.22770755099020901</v>
      </c>
      <c r="H18" s="1">
        <v>0.22518664892000201</v>
      </c>
      <c r="I18" s="1">
        <v>0.227213518689278</v>
      </c>
      <c r="J18" s="1">
        <v>0.24874650699834999</v>
      </c>
      <c r="K18" s="1">
        <v>0.235225731985549</v>
      </c>
      <c r="L18" s="1">
        <v>0.25044784096067402</v>
      </c>
      <c r="M18" s="1">
        <v>0.26163449238553099</v>
      </c>
      <c r="N18" s="1">
        <v>0.24540636912724001</v>
      </c>
      <c r="O18" s="1">
        <v>0.24032682890057899</v>
      </c>
      <c r="P18" s="1">
        <v>0.260912887445923</v>
      </c>
      <c r="Q18" s="1">
        <v>0.221013088039553</v>
      </c>
      <c r="R18" s="1">
        <v>0.24684852474912</v>
      </c>
      <c r="S18" s="1">
        <v>0.231738650520046</v>
      </c>
      <c r="T18" s="1">
        <v>0.24179309459001599</v>
      </c>
      <c r="U18" s="1">
        <v>0.23689877054946901</v>
      </c>
      <c r="V18" s="1">
        <v>0.25084232636538401</v>
      </c>
      <c r="W18" s="1">
        <v>0.22159605573380201</v>
      </c>
      <c r="X18" s="1">
        <v>0.241737677636362</v>
      </c>
      <c r="Y18" s="1">
        <v>0.243929820887994</v>
      </c>
      <c r="Z18" s="1">
        <v>0.22908569730842601</v>
      </c>
      <c r="AA18" s="1">
        <v>0.23227000983881699</v>
      </c>
      <c r="AB18" s="1">
        <v>0.25120592042238399</v>
      </c>
      <c r="AC18" s="1">
        <v>0.23836893720872501</v>
      </c>
      <c r="AD18" s="1">
        <f>AVERAGE(C18:AC18)</f>
        <v>0.23870413410635979</v>
      </c>
      <c r="AE18" s="1">
        <f>_xlfn.STDEV.P(C18:AC18)</f>
        <v>1.1431157311742981E-2</v>
      </c>
      <c r="AF18" s="1">
        <f>AE18/AD18</f>
        <v>4.788839269390107E-2</v>
      </c>
    </row>
    <row r="19" spans="1:32" ht="15" x14ac:dyDescent="0.15">
      <c r="A19" t="s">
        <v>3</v>
      </c>
      <c r="B19" s="5">
        <v>43655.979166666664</v>
      </c>
      <c r="C19" s="1">
        <v>0.23528911222507401</v>
      </c>
      <c r="D19" s="1">
        <v>0.240045249706766</v>
      </c>
      <c r="E19" s="1">
        <v>0.237106768858101</v>
      </c>
      <c r="F19" s="1">
        <v>0.24599962072818499</v>
      </c>
      <c r="G19" s="1">
        <v>0.224462458301669</v>
      </c>
      <c r="H19" s="1">
        <v>0.22562749045661601</v>
      </c>
      <c r="I19" s="1">
        <v>0.24044059653505301</v>
      </c>
      <c r="J19" s="1">
        <v>0.23719401874062501</v>
      </c>
      <c r="K19" s="1">
        <v>0.242542275492904</v>
      </c>
      <c r="L19" s="1">
        <v>0.236529675665097</v>
      </c>
      <c r="M19" s="1">
        <v>0.23563889022672499</v>
      </c>
      <c r="N19" s="1">
        <v>0.24355845345265101</v>
      </c>
      <c r="O19" s="1">
        <v>0.24681055823499701</v>
      </c>
      <c r="P19" s="1">
        <v>0.251776487509701</v>
      </c>
      <c r="Q19" s="1">
        <v>0.233846285536563</v>
      </c>
      <c r="R19" s="1">
        <v>0.242120128439619</v>
      </c>
      <c r="S19" s="1">
        <v>0.24108752653885099</v>
      </c>
      <c r="T19" s="1">
        <v>0.253347806433386</v>
      </c>
      <c r="U19" s="1">
        <v>0.243101116222629</v>
      </c>
      <c r="V19" s="1">
        <v>0.23121889630874101</v>
      </c>
      <c r="W19" s="1">
        <v>0.22246565701613999</v>
      </c>
      <c r="X19" s="1">
        <v>0.21203229078222399</v>
      </c>
      <c r="Y19" s="1">
        <v>0.227272833687332</v>
      </c>
      <c r="Z19" s="1">
        <v>0.22831904263027999</v>
      </c>
      <c r="AA19" s="1">
        <v>0.24326400164394801</v>
      </c>
      <c r="AB19" s="1">
        <v>0.24994805292822</v>
      </c>
      <c r="AC19" s="1">
        <v>0.24332954645920399</v>
      </c>
      <c r="AD19" s="1">
        <f>AVERAGE(C19:AC19)</f>
        <v>0.23756943854671483</v>
      </c>
      <c r="AE19" s="1">
        <f>_xlfn.STDEV.P(C19:AC19)</f>
        <v>9.458630222996034E-3</v>
      </c>
      <c r="AF19" s="1">
        <f>AE19/AD19</f>
        <v>3.9814170883499908E-2</v>
      </c>
    </row>
    <row r="20" spans="1:32" ht="15" x14ac:dyDescent="0.15">
      <c r="A20" t="s">
        <v>3</v>
      </c>
      <c r="B20" s="5">
        <v>43664.604166666664</v>
      </c>
      <c r="C20" s="1">
        <v>0.18675434805899599</v>
      </c>
      <c r="D20" s="1">
        <v>0.17713261546126</v>
      </c>
      <c r="E20" s="1">
        <v>0.171213336315513</v>
      </c>
      <c r="F20" s="1">
        <v>0.18053593082539901</v>
      </c>
      <c r="G20" s="1">
        <v>0.175814370965068</v>
      </c>
      <c r="H20" s="1">
        <v>0.18769533258160701</v>
      </c>
      <c r="I20" s="1">
        <v>0.17653593741377399</v>
      </c>
      <c r="J20" s="1">
        <v>0.18815560984714899</v>
      </c>
      <c r="K20" s="1">
        <v>0.181010287836677</v>
      </c>
      <c r="L20" s="1">
        <v>0.20149465370123901</v>
      </c>
      <c r="M20" s="1">
        <v>0.168820509674797</v>
      </c>
      <c r="N20" s="1">
        <v>0.19081023050664001</v>
      </c>
      <c r="O20" s="1">
        <v>0.17729292281204101</v>
      </c>
      <c r="P20" s="1">
        <v>0.18660872992191699</v>
      </c>
      <c r="Q20" s="1">
        <v>0.18819884255613101</v>
      </c>
      <c r="R20" s="1">
        <v>0.17797004003762601</v>
      </c>
      <c r="S20" s="1">
        <v>0.177002780226684</v>
      </c>
      <c r="T20" s="1">
        <v>0.161304962871445</v>
      </c>
      <c r="U20" s="1">
        <v>0.18489159328752799</v>
      </c>
      <c r="V20" s="1">
        <v>0.19386211667509601</v>
      </c>
      <c r="W20" s="1">
        <v>0.168415612377563</v>
      </c>
      <c r="X20" s="1">
        <v>0.15711541898107201</v>
      </c>
      <c r="Y20" s="1">
        <v>0.174988041573791</v>
      </c>
      <c r="Z20" s="1">
        <v>0.188513581781795</v>
      </c>
      <c r="AA20" s="1">
        <v>0.18782316492892501</v>
      </c>
      <c r="AB20" s="1">
        <v>0.19273114466810001</v>
      </c>
      <c r="AC20" s="1">
        <v>0.189973541692567</v>
      </c>
      <c r="AD20" s="1">
        <f>AVERAGE(C20:AC20)</f>
        <v>0.18120983916964445</v>
      </c>
      <c r="AE20" s="1">
        <f>_xlfn.STDEV.P(C20:AC20)</f>
        <v>1.0050110107403688E-2</v>
      </c>
      <c r="AF20" s="1">
        <f>AE20/AD20</f>
        <v>5.5461172271087378E-2</v>
      </c>
    </row>
    <row r="21" spans="1:32" ht="15" x14ac:dyDescent="0.15">
      <c r="A21" t="s">
        <v>3</v>
      </c>
      <c r="B21" s="5">
        <v>43666.309027777781</v>
      </c>
      <c r="C21" s="1">
        <v>0.30746772242364201</v>
      </c>
      <c r="D21" s="1">
        <v>0.31157156748413101</v>
      </c>
      <c r="E21" s="1">
        <v>0.30096471285410398</v>
      </c>
      <c r="F21" s="1">
        <v>0.28702941928590903</v>
      </c>
      <c r="G21" s="1">
        <v>0.299199437762317</v>
      </c>
      <c r="H21" s="1">
        <v>0.30922477109179802</v>
      </c>
      <c r="I21" s="1">
        <v>0.29570893271619397</v>
      </c>
      <c r="J21" s="1">
        <v>0.29437424054206002</v>
      </c>
      <c r="K21" s="1">
        <v>0.33277482026174798</v>
      </c>
      <c r="L21" s="1">
        <v>0.296590646501243</v>
      </c>
      <c r="M21" s="1">
        <v>0.28472307963865501</v>
      </c>
      <c r="N21" s="1">
        <v>0.31004182186683499</v>
      </c>
      <c r="O21" s="1">
        <v>0.27956543704364001</v>
      </c>
      <c r="P21" s="1">
        <v>0.31556544879892801</v>
      </c>
      <c r="Q21" s="1">
        <v>0.313446984826866</v>
      </c>
      <c r="R21" s="1">
        <v>0.25317693274303399</v>
      </c>
      <c r="S21" s="1">
        <v>0.30238392322028801</v>
      </c>
      <c r="T21" s="1">
        <v>0.27902921668046199</v>
      </c>
      <c r="U21" s="1">
        <v>0.287514075349181</v>
      </c>
      <c r="V21" s="1">
        <v>0.28659048452029701</v>
      </c>
      <c r="W21" s="1">
        <v>0.31300760586604498</v>
      </c>
      <c r="X21" s="1">
        <v>0.27953480127007901</v>
      </c>
      <c r="Y21" s="1">
        <v>0.281436573383061</v>
      </c>
      <c r="Z21" s="1">
        <v>0.303392569376085</v>
      </c>
      <c r="AA21" s="1">
        <v>0.29829851117797701</v>
      </c>
      <c r="AB21" s="1">
        <v>0.29345642804830402</v>
      </c>
      <c r="AC21" s="1">
        <v>0.31282005706944599</v>
      </c>
      <c r="AD21" s="1">
        <f>AVERAGE(C21:AC21)</f>
        <v>0.29736630451119739</v>
      </c>
      <c r="AE21" s="1">
        <f>_xlfn.STDEV.P(C21:AC21)</f>
        <v>1.5747820010588446E-2</v>
      </c>
      <c r="AF21" s="1">
        <f>AE21/AD21</f>
        <v>5.2957647761989315E-2</v>
      </c>
    </row>
    <row r="22" spans="1:32" ht="15" x14ac:dyDescent="0.15">
      <c r="A22" t="s">
        <v>3</v>
      </c>
      <c r="B22" s="5">
        <v>43702.729166666664</v>
      </c>
      <c r="C22" s="1">
        <v>0.19076232060818299</v>
      </c>
      <c r="D22" s="1">
        <v>0.16735347229888201</v>
      </c>
      <c r="E22" s="1">
        <v>0.17549083407491201</v>
      </c>
      <c r="F22" s="1">
        <v>0.175729883500336</v>
      </c>
      <c r="G22" s="1">
        <v>0.17376358614376999</v>
      </c>
      <c r="H22" s="1">
        <v>0.168613350692534</v>
      </c>
      <c r="I22" s="1">
        <v>0.17956273911177101</v>
      </c>
      <c r="J22" s="1">
        <v>0.14954365550332799</v>
      </c>
      <c r="K22" s="1">
        <v>0.182001092319833</v>
      </c>
      <c r="L22" s="1">
        <v>0.183890694606062</v>
      </c>
      <c r="M22" s="1">
        <v>0.159126001670997</v>
      </c>
      <c r="N22" s="1">
        <v>0.17167137312021699</v>
      </c>
      <c r="O22" s="1">
        <v>0.190730051891467</v>
      </c>
      <c r="P22" s="1">
        <v>0.18096046966528001</v>
      </c>
      <c r="Q22" s="1">
        <v>0.176590645135206</v>
      </c>
      <c r="R22" s="1">
        <v>0.16658568139299701</v>
      </c>
      <c r="S22" s="1">
        <v>0.18815152703594701</v>
      </c>
      <c r="T22" s="1">
        <v>0.16846786025742799</v>
      </c>
      <c r="U22" s="1">
        <v>0.191650766595753</v>
      </c>
      <c r="V22" s="1">
        <v>0.18078032239637801</v>
      </c>
      <c r="W22" s="1">
        <v>0.171918256377637</v>
      </c>
      <c r="X22" s="1">
        <v>0.14676453633601999</v>
      </c>
      <c r="Y22" s="1">
        <v>0.17460487287922599</v>
      </c>
      <c r="Z22" s="1">
        <v>0.18480129101731699</v>
      </c>
      <c r="AA22" s="1">
        <v>0.182108641866573</v>
      </c>
      <c r="AB22" s="1">
        <v>0.19098442171390001</v>
      </c>
      <c r="AC22" s="1">
        <v>0.17552197546121401</v>
      </c>
      <c r="AD22" s="1">
        <f>AVERAGE(C22:AC22)</f>
        <v>0.17585667865456178</v>
      </c>
      <c r="AE22" s="1">
        <f>_xlfn.STDEV.P(C22:AC22)</f>
        <v>1.1356210902176549E-2</v>
      </c>
      <c r="AF22" s="1">
        <f>AE22/AD22</f>
        <v>6.4576511901966172E-2</v>
      </c>
    </row>
    <row r="23" spans="1:32" ht="15" x14ac:dyDescent="0.15">
      <c r="A23" t="s">
        <v>3</v>
      </c>
      <c r="B23" s="5">
        <v>43717.444444444445</v>
      </c>
      <c r="C23" s="1">
        <v>0.122838946814275</v>
      </c>
      <c r="D23" s="1">
        <v>0.138673047054266</v>
      </c>
      <c r="E23" s="1">
        <v>0.15512806939593499</v>
      </c>
      <c r="F23" s="1">
        <v>0.119192751995732</v>
      </c>
      <c r="G23" s="1">
        <v>0.142146781927139</v>
      </c>
      <c r="H23" s="1">
        <v>0.14257177200424601</v>
      </c>
      <c r="I23" s="1">
        <v>0.12580148010556</v>
      </c>
      <c r="J23" s="1">
        <v>0.11976317905739201</v>
      </c>
      <c r="K23" s="1">
        <v>0.14849676414846899</v>
      </c>
      <c r="L23" s="1">
        <v>0.15213345810294099</v>
      </c>
      <c r="M23" s="1">
        <v>0.13866205510528801</v>
      </c>
      <c r="N23" s="1">
        <v>0.128223812194426</v>
      </c>
      <c r="O23" s="1">
        <v>0.13670873475202999</v>
      </c>
      <c r="P23" s="1">
        <v>0.142552995751727</v>
      </c>
      <c r="Q23" s="1">
        <v>0.13646930753685299</v>
      </c>
      <c r="R23" s="1">
        <v>0.14007406476147599</v>
      </c>
      <c r="S23" s="1">
        <v>0.13412498494627001</v>
      </c>
      <c r="T23" s="1">
        <v>0.120771435024013</v>
      </c>
      <c r="U23" s="1">
        <v>0.141918569604399</v>
      </c>
      <c r="V23" s="1">
        <v>0.13336370448024701</v>
      </c>
      <c r="W23" s="1">
        <v>0.13914558933700499</v>
      </c>
      <c r="X23" s="1">
        <v>0.13161415489297501</v>
      </c>
      <c r="Y23" s="1">
        <v>0.13048073431830801</v>
      </c>
      <c r="Z23" s="1">
        <v>0.12688393294227099</v>
      </c>
      <c r="AA23" s="1">
        <v>0.13535323538716301</v>
      </c>
      <c r="AB23" s="1">
        <v>0.14458872450587801</v>
      </c>
      <c r="AC23" s="1">
        <v>0.13480478167016799</v>
      </c>
      <c r="AD23" s="1">
        <f>AVERAGE(C23:AC23)</f>
        <v>0.13564766917838708</v>
      </c>
      <c r="AE23" s="1">
        <f>_xlfn.STDEV.P(C23:AC23)</f>
        <v>9.2575834964470811E-3</v>
      </c>
      <c r="AF23" s="1">
        <f>AE23/AD23</f>
        <v>6.8247272898383893E-2</v>
      </c>
    </row>
    <row r="24" spans="1:32" ht="15" x14ac:dyDescent="0.15">
      <c r="A24" t="s">
        <v>4</v>
      </c>
      <c r="B24" s="4">
        <v>43266.375</v>
      </c>
      <c r="C24" s="1">
        <v>0.191335517183915</v>
      </c>
      <c r="D24" s="1">
        <v>0.19694919568881999</v>
      </c>
      <c r="E24" s="1">
        <v>0.18405813842469701</v>
      </c>
      <c r="F24" s="1">
        <v>0.20012655439802399</v>
      </c>
      <c r="G24" s="1">
        <v>0.19614182514390099</v>
      </c>
      <c r="H24" s="1">
        <v>0.20505896409159499</v>
      </c>
      <c r="I24" s="1">
        <v>0.19757692485761</v>
      </c>
      <c r="J24" s="1">
        <v>0.18207365371225301</v>
      </c>
      <c r="K24" s="1">
        <v>0.20271484127457101</v>
      </c>
      <c r="L24" s="1">
        <v>0.20310563853493099</v>
      </c>
      <c r="M24" s="1">
        <v>0.19164199756805</v>
      </c>
      <c r="N24" s="1">
        <v>0.201848004261241</v>
      </c>
      <c r="O24" s="1">
        <v>0.208913311689569</v>
      </c>
      <c r="P24" s="1">
        <v>0.19780443848040299</v>
      </c>
      <c r="Q24" s="1">
        <v>0.204361235848291</v>
      </c>
      <c r="R24" s="1">
        <v>0.21184428808394601</v>
      </c>
      <c r="S24" s="1">
        <v>0.206773908696465</v>
      </c>
      <c r="T24" s="1">
        <v>0.194009442324894</v>
      </c>
      <c r="U24" s="1">
        <v>0.19777458843283799</v>
      </c>
      <c r="V24" s="1">
        <v>0.18444045784275501</v>
      </c>
      <c r="W24" s="1">
        <v>0.18801590809775701</v>
      </c>
      <c r="X24" s="1">
        <v>0.20217460191693801</v>
      </c>
      <c r="Y24" s="1">
        <v>0.192820591840942</v>
      </c>
      <c r="Z24" s="1">
        <v>0.187554631214706</v>
      </c>
      <c r="AA24" s="1">
        <v>0.21179561012208101</v>
      </c>
      <c r="AB24" s="1">
        <v>0.210537409070815</v>
      </c>
      <c r="AC24" s="1">
        <v>0.18154794491982301</v>
      </c>
      <c r="AD24" s="1">
        <f>AVERAGE(C24:AC24)</f>
        <v>0.19751850458229006</v>
      </c>
      <c r="AE24" s="1">
        <f>_xlfn.STDEV.P(C24:AC24)</f>
        <v>8.919597210012736E-3</v>
      </c>
      <c r="AF24" s="1">
        <f>AE24/AD24</f>
        <v>4.5158286454607385E-2</v>
      </c>
    </row>
    <row r="25" spans="1:32" ht="15" x14ac:dyDescent="0.15">
      <c r="A25" t="s">
        <v>4</v>
      </c>
      <c r="B25" s="4">
        <v>43267.354166666664</v>
      </c>
      <c r="C25" s="1">
        <v>0.17214193723545801</v>
      </c>
      <c r="D25" s="1">
        <v>0.15379663982972799</v>
      </c>
      <c r="E25" s="1">
        <v>0.15472766876705699</v>
      </c>
      <c r="F25" s="1">
        <v>0.16357678690715699</v>
      </c>
      <c r="G25" s="1">
        <v>0.16154208368756101</v>
      </c>
      <c r="H25" s="1">
        <v>0.16925056842252201</v>
      </c>
      <c r="I25" s="1">
        <v>0.158023914731618</v>
      </c>
      <c r="J25" s="1">
        <v>0.16671634011501699</v>
      </c>
      <c r="K25" s="1">
        <v>0.170348956615647</v>
      </c>
      <c r="L25" s="1">
        <v>0.181927535531029</v>
      </c>
      <c r="M25" s="1">
        <v>0.15718368148796599</v>
      </c>
      <c r="N25" s="1">
        <v>0.16639918986180799</v>
      </c>
      <c r="O25" s="1">
        <v>0.16907939230007901</v>
      </c>
      <c r="P25" s="1">
        <v>0.161996116384823</v>
      </c>
      <c r="Q25" s="1">
        <v>0.17803977392391299</v>
      </c>
      <c r="R25" s="1">
        <v>0.15560255289144501</v>
      </c>
      <c r="S25" s="1">
        <v>0.16828434365384701</v>
      </c>
      <c r="T25" s="1">
        <v>0.16477525691064801</v>
      </c>
      <c r="U25" s="1">
        <v>0.171104497664681</v>
      </c>
      <c r="V25" s="1">
        <v>0.16222025123446199</v>
      </c>
      <c r="W25" s="1">
        <v>0.15787946287830101</v>
      </c>
      <c r="X25" s="1">
        <v>0.14129848909401799</v>
      </c>
      <c r="Y25" s="1">
        <v>0.17283998226809899</v>
      </c>
      <c r="Z25" s="1">
        <v>0.168125117981686</v>
      </c>
      <c r="AA25" s="1">
        <v>0.17404991393688901</v>
      </c>
      <c r="AB25" s="1">
        <v>0.17865057563231099</v>
      </c>
      <c r="AC25" s="1">
        <v>0.16969737429176901</v>
      </c>
      <c r="AD25" s="1">
        <f>AVERAGE(C25:AC25)</f>
        <v>0.16552882978664962</v>
      </c>
      <c r="AE25" s="1">
        <f>_xlfn.STDEV.P(C25:AC25)</f>
        <v>8.7139758377727632E-3</v>
      </c>
      <c r="AF25" s="1">
        <f>AE25/AD25</f>
        <v>5.2643251625739282E-2</v>
      </c>
    </row>
    <row r="26" spans="1:32" ht="15" x14ac:dyDescent="0.15">
      <c r="A26" t="s">
        <v>4</v>
      </c>
      <c r="B26" s="4">
        <v>43299.520833333336</v>
      </c>
      <c r="C26" s="1">
        <v>0.212850069806195</v>
      </c>
      <c r="D26" s="1">
        <v>0.22495200171607799</v>
      </c>
      <c r="E26" s="1">
        <v>0.194980893630751</v>
      </c>
      <c r="F26" s="1">
        <v>0.202863163433534</v>
      </c>
      <c r="G26" s="1">
        <v>0.216321144933008</v>
      </c>
      <c r="H26" s="1">
        <v>0.22599628924165099</v>
      </c>
      <c r="I26" s="1">
        <v>0.20699571951573101</v>
      </c>
      <c r="J26" s="1">
        <v>0.209778910351411</v>
      </c>
      <c r="K26" s="1">
        <v>0.21525723792731599</v>
      </c>
      <c r="L26" s="1">
        <v>0.23201394219518201</v>
      </c>
      <c r="M26" s="1">
        <v>0.21919517848837999</v>
      </c>
      <c r="N26" s="1">
        <v>0.214091920007593</v>
      </c>
      <c r="O26" s="1">
        <v>0.21280407841710899</v>
      </c>
      <c r="P26" s="1">
        <v>0.22896299096109499</v>
      </c>
      <c r="Q26" s="1">
        <v>0.230760997850227</v>
      </c>
      <c r="R26" s="1">
        <v>0.22164719228868299</v>
      </c>
      <c r="S26" s="1">
        <v>0.22501424315440699</v>
      </c>
      <c r="T26" s="1">
        <v>0.21225164868174601</v>
      </c>
      <c r="U26" s="1">
        <v>0.22479685123367599</v>
      </c>
      <c r="V26" s="1">
        <v>0.20003479093580001</v>
      </c>
      <c r="W26" s="1">
        <v>0.20774099229215001</v>
      </c>
      <c r="X26" s="1">
        <v>0.22590593144823301</v>
      </c>
      <c r="Y26" s="1">
        <v>0.21380175753470301</v>
      </c>
      <c r="Z26" s="1">
        <v>0.20243840378834599</v>
      </c>
      <c r="AA26" s="1">
        <v>0.223507697484155</v>
      </c>
      <c r="AB26" s="1">
        <v>0.23780130242625799</v>
      </c>
      <c r="AC26" s="1">
        <v>0.19822717092543701</v>
      </c>
      <c r="AD26" s="1">
        <f>AVERAGE(C26:AC26)</f>
        <v>0.2163330563210687</v>
      </c>
      <c r="AE26" s="1">
        <f>_xlfn.STDEV.P(C26:AC26)</f>
        <v>1.0971907435693441E-2</v>
      </c>
      <c r="AF26" s="1">
        <f>AE26/AD26</f>
        <v>5.0717664800193948E-2</v>
      </c>
    </row>
    <row r="27" spans="1:32" ht="15" x14ac:dyDescent="0.15">
      <c r="A27" t="s">
        <v>4</v>
      </c>
      <c r="B27" s="4">
        <v>43315.670138888891</v>
      </c>
      <c r="C27" s="1">
        <v>0.16752894132850499</v>
      </c>
      <c r="D27" s="1">
        <v>0.15397215792800401</v>
      </c>
      <c r="E27" s="1">
        <v>0.150397194743847</v>
      </c>
      <c r="F27" s="1">
        <v>0.15595504597961199</v>
      </c>
      <c r="G27" s="1">
        <v>0.15753704474585201</v>
      </c>
      <c r="H27" s="1">
        <v>0.166518555303696</v>
      </c>
      <c r="I27" s="1">
        <v>0.15597878587540001</v>
      </c>
      <c r="J27" s="1">
        <v>0.16487667534233899</v>
      </c>
      <c r="K27" s="1">
        <v>0.16106274974947599</v>
      </c>
      <c r="L27" s="1">
        <v>0.191151312920991</v>
      </c>
      <c r="M27" s="1">
        <v>0.14683739617326</v>
      </c>
      <c r="N27" s="1">
        <v>0.15957826203623601</v>
      </c>
      <c r="O27" s="1">
        <v>0.159398479682447</v>
      </c>
      <c r="P27" s="1">
        <v>0.166208259156711</v>
      </c>
      <c r="Q27" s="1">
        <v>0.17258611608362601</v>
      </c>
      <c r="R27" s="1">
        <v>0.15355955722074099</v>
      </c>
      <c r="S27" s="1">
        <v>0.169464567984311</v>
      </c>
      <c r="T27" s="1">
        <v>0.155382979333995</v>
      </c>
      <c r="U27" s="1">
        <v>0.16758190278837101</v>
      </c>
      <c r="V27" s="1">
        <v>0.15348222617153401</v>
      </c>
      <c r="W27" s="1">
        <v>0.154694519284164</v>
      </c>
      <c r="X27" s="1">
        <v>0.14480934206646701</v>
      </c>
      <c r="Y27" s="1">
        <v>0.158705715802896</v>
      </c>
      <c r="Z27" s="1">
        <v>0.15998870441774701</v>
      </c>
      <c r="AA27" s="1">
        <v>0.16457810286615401</v>
      </c>
      <c r="AB27" s="1">
        <v>0.173959694440353</v>
      </c>
      <c r="AC27" s="1">
        <v>0.15384665245484799</v>
      </c>
      <c r="AD27" s="1">
        <f>AVERAGE(C27:AC27)</f>
        <v>0.16072744229191049</v>
      </c>
      <c r="AE27" s="1">
        <f>_xlfn.STDEV.P(C27:AC27)</f>
        <v>9.3980180283307711E-3</v>
      </c>
      <c r="AF27" s="1">
        <f>AE27/AD27</f>
        <v>5.8471769937471212E-2</v>
      </c>
    </row>
    <row r="28" spans="1:32" ht="15" x14ac:dyDescent="0.15">
      <c r="A28" t="s">
        <v>4</v>
      </c>
      <c r="B28" s="4">
        <v>43324.413194444445</v>
      </c>
      <c r="C28" s="1">
        <v>0.232524924009305</v>
      </c>
      <c r="D28" s="1">
        <v>0.235606493200018</v>
      </c>
      <c r="E28" s="1">
        <v>0.209818782708598</v>
      </c>
      <c r="F28" s="1">
        <v>0.248644350074884</v>
      </c>
      <c r="G28" s="1">
        <v>0.22803673318574</v>
      </c>
      <c r="H28" s="1">
        <v>0.245376641467179</v>
      </c>
      <c r="I28" s="1">
        <v>0.20636289735188099</v>
      </c>
      <c r="J28" s="1">
        <v>0.24489995265522599</v>
      </c>
      <c r="K28" s="1">
        <v>0.233098208821237</v>
      </c>
      <c r="L28" s="1">
        <v>0.26835732087893399</v>
      </c>
      <c r="M28" s="1">
        <v>0.237622328215773</v>
      </c>
      <c r="N28" s="1">
        <v>0.251481334253844</v>
      </c>
      <c r="O28" s="1">
        <v>0.23603317750594499</v>
      </c>
      <c r="P28" s="1">
        <v>0.23673265004482899</v>
      </c>
      <c r="Q28" s="1">
        <v>0.24404869015574701</v>
      </c>
      <c r="R28" s="1">
        <v>0.247414731006254</v>
      </c>
      <c r="S28" s="1">
        <v>0.25696205833060298</v>
      </c>
      <c r="T28" s="1">
        <v>0.251223852542931</v>
      </c>
      <c r="U28" s="1">
        <v>0.228776666229625</v>
      </c>
      <c r="V28" s="1">
        <v>0.234100018152195</v>
      </c>
      <c r="W28" s="1">
        <v>0.22649703470879601</v>
      </c>
      <c r="X28" s="1">
        <v>0.241045311718487</v>
      </c>
      <c r="Y28" s="1">
        <v>0.22991484881758301</v>
      </c>
      <c r="Z28" s="1">
        <v>0.24459558379471799</v>
      </c>
      <c r="AA28" s="1">
        <v>0.25396550392006001</v>
      </c>
      <c r="AB28" s="1">
        <v>0.245669285774336</v>
      </c>
      <c r="AC28" s="1">
        <v>0.21931733818068899</v>
      </c>
      <c r="AD28" s="1">
        <f>AVERAGE(C28:AC28)</f>
        <v>0.23844913769279327</v>
      </c>
      <c r="AE28" s="1">
        <f>_xlfn.STDEV.P(C28:AC28)</f>
        <v>1.3534662348689641E-2</v>
      </c>
      <c r="AF28" s="1">
        <f>AE28/AD28</f>
        <v>5.6761213228319861E-2</v>
      </c>
    </row>
    <row r="29" spans="1:32" ht="15" x14ac:dyDescent="0.15">
      <c r="A29" t="s">
        <v>4</v>
      </c>
      <c r="B29" s="4">
        <v>43336.177083333336</v>
      </c>
      <c r="C29" s="1">
        <v>0.21356145673890201</v>
      </c>
      <c r="D29" s="1">
        <v>0.20012838512876499</v>
      </c>
      <c r="E29" s="1">
        <v>0.20234568664837199</v>
      </c>
      <c r="F29" s="1">
        <v>0.21230889887477999</v>
      </c>
      <c r="G29" s="1">
        <v>0.20282281444219499</v>
      </c>
      <c r="H29" s="1">
        <v>0.209129780523092</v>
      </c>
      <c r="I29" s="1">
        <v>0.17348655071452501</v>
      </c>
      <c r="J29" s="1">
        <v>0.20179035801432901</v>
      </c>
      <c r="K29" s="1">
        <v>0.20629230122190001</v>
      </c>
      <c r="L29" s="1">
        <v>0.245139786351489</v>
      </c>
      <c r="M29" s="1">
        <v>0.20398808310375199</v>
      </c>
      <c r="N29" s="1">
        <v>0.21292747491788699</v>
      </c>
      <c r="O29" s="1">
        <v>0.23411583207659001</v>
      </c>
      <c r="P29" s="1">
        <v>0.22239904852280301</v>
      </c>
      <c r="Q29" s="1">
        <v>0.22365940290179401</v>
      </c>
      <c r="R29" s="1">
        <v>0.18123424757130699</v>
      </c>
      <c r="S29" s="1">
        <v>0.243809574849394</v>
      </c>
      <c r="T29" s="1">
        <v>0.156457650331909</v>
      </c>
      <c r="U29" s="1">
        <v>0.189656341339771</v>
      </c>
      <c r="V29" s="1">
        <v>0.19327002338221699</v>
      </c>
      <c r="W29" s="1">
        <v>0.20208289968975299</v>
      </c>
      <c r="X29" s="1">
        <v>0.23210321964132799</v>
      </c>
      <c r="Y29" s="1">
        <v>0.200460708430307</v>
      </c>
      <c r="Z29" s="1">
        <v>0.19307081436132201</v>
      </c>
      <c r="AA29" s="1">
        <v>0.16812748368328301</v>
      </c>
      <c r="AB29" s="1">
        <v>0.18801610716213599</v>
      </c>
      <c r="AC29" s="1">
        <v>0.20689348514464301</v>
      </c>
      <c r="AD29" s="1">
        <f>AVERAGE(C29:AC29)</f>
        <v>0.20441771910253867</v>
      </c>
      <c r="AE29" s="1">
        <f>_xlfn.STDEV.P(C29:AC29)</f>
        <v>2.0822805249406464E-2</v>
      </c>
      <c r="AF29" s="1">
        <f>AE29/AD29</f>
        <v>0.10186399369303924</v>
      </c>
    </row>
    <row r="30" spans="1:32" ht="15" x14ac:dyDescent="0.15">
      <c r="A30" t="s">
        <v>4</v>
      </c>
      <c r="B30" s="4">
        <v>43346.201388888891</v>
      </c>
      <c r="C30" s="1">
        <v>0.21253127978561601</v>
      </c>
      <c r="D30" s="1">
        <v>0.22143955231026</v>
      </c>
      <c r="E30" s="1">
        <v>0.193134680384249</v>
      </c>
      <c r="F30" s="1">
        <v>0.23824093740859101</v>
      </c>
      <c r="G30" s="1">
        <v>0.21115710749071501</v>
      </c>
      <c r="H30" s="1">
        <v>0.228226407303639</v>
      </c>
      <c r="I30" s="1">
        <v>0.233770103923052</v>
      </c>
      <c r="J30" s="1">
        <v>0.22562914346228499</v>
      </c>
      <c r="K30" s="1">
        <v>0.211004249902738</v>
      </c>
      <c r="L30" s="1">
        <v>0.22217984632989099</v>
      </c>
      <c r="M30" s="1">
        <v>0.231572504855075</v>
      </c>
      <c r="N30" s="1">
        <v>0.22123805325197901</v>
      </c>
      <c r="O30" s="1">
        <v>0.218534903418138</v>
      </c>
      <c r="P30" s="1">
        <v>0.19422902650030399</v>
      </c>
      <c r="Q30" s="1">
        <v>0.22840037951007</v>
      </c>
      <c r="R30" s="1">
        <v>0.23274020553147701</v>
      </c>
      <c r="S30" s="1">
        <v>0.21887887596363401</v>
      </c>
      <c r="T30" s="1">
        <v>0.22424133019043899</v>
      </c>
      <c r="U30" s="1">
        <v>0.22703942365776</v>
      </c>
      <c r="V30" s="1">
        <v>0.20077906641096999</v>
      </c>
      <c r="W30" s="1">
        <v>0.20323267582296001</v>
      </c>
      <c r="X30" s="1">
        <v>0.20375503778253101</v>
      </c>
      <c r="Y30" s="1">
        <v>0.22913280795694099</v>
      </c>
      <c r="Z30" s="1">
        <v>0.22430247478672399</v>
      </c>
      <c r="AA30" s="1">
        <v>0.23816203821180201</v>
      </c>
      <c r="AB30" s="1">
        <v>0.232692706778617</v>
      </c>
      <c r="AC30" s="1">
        <v>0.19324974002242801</v>
      </c>
      <c r="AD30" s="1">
        <f>AVERAGE(C30:AC30)</f>
        <v>0.21924053922047726</v>
      </c>
      <c r="AE30" s="1">
        <f>_xlfn.STDEV.P(C30:AC30)</f>
        <v>1.3438443048012672E-2</v>
      </c>
      <c r="AF30" s="1">
        <f>AE30/AD30</f>
        <v>6.129542964906879E-2</v>
      </c>
    </row>
    <row r="31" spans="1:32" ht="15" x14ac:dyDescent="0.15">
      <c r="A31" t="s">
        <v>4</v>
      </c>
      <c r="B31" s="4">
        <v>43384.288194444445</v>
      </c>
      <c r="C31" s="1">
        <v>0.16592012407583701</v>
      </c>
      <c r="D31" s="1">
        <v>0.17151668997726899</v>
      </c>
      <c r="E31" s="1">
        <v>0.158215546539373</v>
      </c>
      <c r="F31" s="1">
        <v>0.171024324620694</v>
      </c>
      <c r="G31" s="1">
        <v>0.17576740509480199</v>
      </c>
      <c r="H31" s="1">
        <v>0.17203663360774199</v>
      </c>
      <c r="I31" s="1">
        <v>0.15198587653427301</v>
      </c>
      <c r="J31" s="1">
        <v>0.17182754991671201</v>
      </c>
      <c r="K31" s="1">
        <v>0.17900552534428099</v>
      </c>
      <c r="L31" s="1">
        <v>0.18880464642828301</v>
      </c>
      <c r="M31" s="1">
        <v>0.16238735008382399</v>
      </c>
      <c r="N31" s="1">
        <v>0.176636516847124</v>
      </c>
      <c r="O31" s="1">
        <v>0.17519064504802301</v>
      </c>
      <c r="P31" s="1">
        <v>0.176722365567413</v>
      </c>
      <c r="Q31" s="1">
        <v>0.18228748388197599</v>
      </c>
      <c r="R31" s="1">
        <v>0.155721983380432</v>
      </c>
      <c r="S31" s="1">
        <v>0.169178428385582</v>
      </c>
      <c r="T31" s="1">
        <v>0.14005810718536299</v>
      </c>
      <c r="U31" s="1">
        <v>0.174154154389558</v>
      </c>
      <c r="V31" s="1">
        <v>0.16643556036959301</v>
      </c>
      <c r="W31" s="1">
        <v>0.17540294099225601</v>
      </c>
      <c r="X31" s="1">
        <v>0.13939804224976399</v>
      </c>
      <c r="Y31" s="1">
        <v>0.16256516405361099</v>
      </c>
      <c r="Z31" s="1">
        <v>0.17137894347697699</v>
      </c>
      <c r="AA31" s="1">
        <v>0.17587958159709399</v>
      </c>
      <c r="AB31" s="1">
        <v>0.18073724962437099</v>
      </c>
      <c r="AC31" s="1">
        <v>0.16874359088931701</v>
      </c>
      <c r="AD31" s="1">
        <f>AVERAGE(C31:AC31)</f>
        <v>0.16885120111709423</v>
      </c>
      <c r="AE31" s="1">
        <f>_xlfn.STDEV.P(C31:AC31)</f>
        <v>1.1472386172037581E-2</v>
      </c>
      <c r="AF31" s="1">
        <f>AE31/AD31</f>
        <v>6.7943764072378482E-2</v>
      </c>
    </row>
    <row r="32" spans="1:32" ht="15" x14ac:dyDescent="0.15">
      <c r="A32" t="s">
        <v>4</v>
      </c>
      <c r="B32" s="4">
        <v>43587.746527777781</v>
      </c>
      <c r="C32" s="1">
        <v>0.20694975390965001</v>
      </c>
      <c r="D32" s="1">
        <v>0.20892959928528501</v>
      </c>
      <c r="E32" s="1">
        <v>0.18303948927121599</v>
      </c>
      <c r="F32" s="1">
        <v>0.21901950075805701</v>
      </c>
      <c r="G32" s="1">
        <v>0.20013282012563</v>
      </c>
      <c r="H32" s="1">
        <v>0.217913749327903</v>
      </c>
      <c r="I32" s="1">
        <v>0.18701345412533099</v>
      </c>
      <c r="J32" s="1">
        <v>0.19948683211832299</v>
      </c>
      <c r="K32" s="1">
        <v>0.20590294265917999</v>
      </c>
      <c r="L32" s="1">
        <v>0.22022544849013001</v>
      </c>
      <c r="M32" s="1">
        <v>0.198474435952464</v>
      </c>
      <c r="N32" s="1">
        <v>0.20606402095311299</v>
      </c>
      <c r="O32" s="1">
        <v>0.20249698851185199</v>
      </c>
      <c r="P32" s="1">
        <v>0.203789975052558</v>
      </c>
      <c r="Q32" s="1">
        <v>0.208620386636477</v>
      </c>
      <c r="R32" s="1">
        <v>0.21738656889916799</v>
      </c>
      <c r="S32" s="1">
        <v>0.21832296077732899</v>
      </c>
      <c r="T32" s="1">
        <v>0.20879927669767401</v>
      </c>
      <c r="U32" s="1">
        <v>0.21272192101180901</v>
      </c>
      <c r="V32" s="1">
        <v>0.19410485289481699</v>
      </c>
      <c r="W32" s="1">
        <v>0.17949291252094199</v>
      </c>
      <c r="X32" s="1">
        <v>0.21003722591670501</v>
      </c>
      <c r="Y32" s="1">
        <v>0.20691156249182899</v>
      </c>
      <c r="Z32" s="1">
        <v>0.20056782006774601</v>
      </c>
      <c r="AA32" s="1">
        <v>0.212716060744815</v>
      </c>
      <c r="AB32" s="1">
        <v>0.219594230929651</v>
      </c>
      <c r="AC32" s="1">
        <v>0.18319471751006799</v>
      </c>
      <c r="AD32" s="1">
        <f>AVERAGE(C32:AC32)</f>
        <v>0.20488553731998968</v>
      </c>
      <c r="AE32" s="1">
        <f>_xlfn.STDEV.P(C32:AC32)</f>
        <v>1.140211881571351E-2</v>
      </c>
      <c r="AF32" s="1">
        <f>AE32/AD32</f>
        <v>5.5651164864339409E-2</v>
      </c>
    </row>
    <row r="33" spans="1:32" ht="15" x14ac:dyDescent="0.15">
      <c r="A33" t="s">
        <v>4</v>
      </c>
      <c r="B33" s="4">
        <v>43592.670138888891</v>
      </c>
      <c r="C33" s="1">
        <v>0.17736474021202001</v>
      </c>
      <c r="D33" s="1">
        <v>0.15624100371174099</v>
      </c>
      <c r="E33" s="1">
        <v>0.15241125861695701</v>
      </c>
      <c r="F33" s="1">
        <v>0.168462332944944</v>
      </c>
      <c r="G33" s="1">
        <v>0.16645691749937599</v>
      </c>
      <c r="H33" s="1">
        <v>0.16953024267001701</v>
      </c>
      <c r="I33" s="1">
        <v>0.166020217468866</v>
      </c>
      <c r="J33" s="1">
        <v>0.163829231131703</v>
      </c>
      <c r="K33" s="1">
        <v>0.175169955819723</v>
      </c>
      <c r="L33" s="1">
        <v>0.18102504921927801</v>
      </c>
      <c r="M33" s="1">
        <v>0.15368797659501501</v>
      </c>
      <c r="N33" s="1">
        <v>0.169819399536218</v>
      </c>
      <c r="O33" s="1">
        <v>0.16216140119220901</v>
      </c>
      <c r="P33" s="1">
        <v>0.167837860769421</v>
      </c>
      <c r="Q33" s="1">
        <v>0.175872363768038</v>
      </c>
      <c r="R33" s="1">
        <v>0.163862841949694</v>
      </c>
      <c r="S33" s="1">
        <v>0.17526228798186999</v>
      </c>
      <c r="T33" s="1">
        <v>0.16321256853498001</v>
      </c>
      <c r="U33" s="1">
        <v>0.17477676487624999</v>
      </c>
      <c r="V33" s="1">
        <v>0.16329515554285801</v>
      </c>
      <c r="W33" s="1">
        <v>0.16236532387948099</v>
      </c>
      <c r="X33" s="1">
        <v>0.145288808889347</v>
      </c>
      <c r="Y33" s="1">
        <v>0.16734489276456699</v>
      </c>
      <c r="Z33" s="1">
        <v>0.180653919549493</v>
      </c>
      <c r="AA33" s="1">
        <v>0.18228196474418801</v>
      </c>
      <c r="AB33" s="1">
        <v>0.18730370154780199</v>
      </c>
      <c r="AC33" s="1">
        <v>0.173029489616461</v>
      </c>
      <c r="AD33" s="1">
        <f>AVERAGE(C33:AC33)</f>
        <v>0.16831732114935247</v>
      </c>
      <c r="AE33" s="1">
        <f>_xlfn.STDEV.P(C33:AC33)</f>
        <v>9.6006292261037376E-3</v>
      </c>
      <c r="AF33" s="1">
        <f>AE33/AD33</f>
        <v>5.7038866591661366E-2</v>
      </c>
    </row>
    <row r="34" spans="1:32" ht="15" x14ac:dyDescent="0.15">
      <c r="A34" t="s">
        <v>4</v>
      </c>
      <c r="B34" s="4">
        <v>43635.201388888891</v>
      </c>
      <c r="C34" s="1">
        <v>0.156045516484138</v>
      </c>
      <c r="D34" s="1">
        <v>0.178294514209965</v>
      </c>
      <c r="E34" s="1">
        <v>0.144782106832507</v>
      </c>
      <c r="F34" s="1">
        <v>0.18251766194529601</v>
      </c>
      <c r="G34" s="1">
        <v>0.15984295968470699</v>
      </c>
      <c r="H34" s="1">
        <v>0.16771213239850299</v>
      </c>
      <c r="I34" s="1">
        <v>0.155846412409061</v>
      </c>
      <c r="J34" s="1">
        <v>0.17602572559990201</v>
      </c>
      <c r="K34" s="1">
        <v>0.143728186619624</v>
      </c>
      <c r="L34" s="1">
        <v>0.199434942634824</v>
      </c>
      <c r="M34" s="1">
        <v>0.16997748792307499</v>
      </c>
      <c r="N34" s="1">
        <v>0.16212841060359601</v>
      </c>
      <c r="O34" s="1">
        <v>0.16673979622520499</v>
      </c>
      <c r="P34" s="1">
        <v>0.16415816685134799</v>
      </c>
      <c r="Q34" s="1">
        <v>0.17401166900294501</v>
      </c>
      <c r="R34" s="1">
        <v>0.150446942518358</v>
      </c>
      <c r="S34" s="1">
        <v>0.169753762945796</v>
      </c>
      <c r="T34" s="1">
        <v>0.16505871181860399</v>
      </c>
      <c r="U34" s="1">
        <v>0.16429072841110001</v>
      </c>
      <c r="V34" s="1">
        <v>0.15007210782929001</v>
      </c>
      <c r="W34" s="1">
        <v>0.14598030206818</v>
      </c>
      <c r="X34" s="1">
        <v>0.157456379743241</v>
      </c>
      <c r="Y34" s="1">
        <v>0.15134008813056399</v>
      </c>
      <c r="Z34" s="1">
        <v>0.19189720716872999</v>
      </c>
      <c r="AA34" s="1">
        <v>0.17980217971578899</v>
      </c>
      <c r="AB34" s="1">
        <v>0.16690627834062999</v>
      </c>
      <c r="AC34" s="1">
        <v>0.15436704289262801</v>
      </c>
      <c r="AD34" s="1">
        <f>AVERAGE(C34:AC34)</f>
        <v>0.16476360818546693</v>
      </c>
      <c r="AE34" s="1">
        <f>_xlfn.STDEV.P(C34:AC34)</f>
        <v>1.3728616045806465E-2</v>
      </c>
      <c r="AF34" s="1">
        <f>AE34/AD34</f>
        <v>8.3323108767761292E-2</v>
      </c>
    </row>
    <row r="35" spans="1:32" ht="15" x14ac:dyDescent="0.15">
      <c r="A35" t="s">
        <v>4</v>
      </c>
      <c r="B35" s="4">
        <v>43636.871527777781</v>
      </c>
      <c r="C35" s="1">
        <v>0.18521001028516501</v>
      </c>
      <c r="D35" s="1">
        <v>0.18637580459736</v>
      </c>
      <c r="E35" s="1">
        <v>0.19278023418117801</v>
      </c>
      <c r="F35" s="1">
        <v>0.17487019694828701</v>
      </c>
      <c r="G35" s="1">
        <v>0.182645139614521</v>
      </c>
      <c r="H35" s="1">
        <v>0.178145312662675</v>
      </c>
      <c r="I35" s="1">
        <v>0.19827608178932701</v>
      </c>
      <c r="J35" s="1">
        <v>0.192067706094739</v>
      </c>
      <c r="K35" s="1">
        <v>0.169417060575313</v>
      </c>
      <c r="L35" s="1">
        <v>0.17376656036783</v>
      </c>
      <c r="M35" s="1">
        <v>0.20345915626111</v>
      </c>
      <c r="N35" s="1">
        <v>0.17145711357622401</v>
      </c>
      <c r="O35" s="1">
        <v>0.153090157537046</v>
      </c>
      <c r="P35" s="1">
        <v>0.19563772595538401</v>
      </c>
      <c r="Q35" s="1">
        <v>0.18387924514096601</v>
      </c>
      <c r="R35" s="1">
        <v>0.197569674272321</v>
      </c>
      <c r="S35" s="1">
        <v>0.172362751406029</v>
      </c>
      <c r="T35" s="1">
        <v>0.17458589007830999</v>
      </c>
      <c r="U35" s="1">
        <v>0.17906546110281499</v>
      </c>
      <c r="V35" s="1">
        <v>0.19341850852850001</v>
      </c>
      <c r="W35" s="1">
        <v>0.21152050555330101</v>
      </c>
      <c r="X35" s="1">
        <v>0.16797405099913101</v>
      </c>
      <c r="Y35" s="1">
        <v>0.20309291796787801</v>
      </c>
      <c r="Z35" s="1">
        <v>0.19023396239573701</v>
      </c>
      <c r="AA35" s="1">
        <v>0.185084471896349</v>
      </c>
      <c r="AB35" s="1">
        <v>0.17221756022731799</v>
      </c>
      <c r="AC35" s="1">
        <v>0.180490972802022</v>
      </c>
      <c r="AD35" s="1">
        <f>AVERAGE(C35:AC35)</f>
        <v>0.18402571232654952</v>
      </c>
      <c r="AE35" s="1">
        <f>_xlfn.STDEV.P(C35:AC35)</f>
        <v>1.2921347664140343E-2</v>
      </c>
      <c r="AF35" s="1">
        <f>AE35/AD35</f>
        <v>7.0214903671785275E-2</v>
      </c>
    </row>
    <row r="36" spans="1:32" ht="15" x14ac:dyDescent="0.15">
      <c r="A36" t="s">
        <v>4</v>
      </c>
      <c r="B36" s="4">
        <v>43639.354166666664</v>
      </c>
      <c r="C36" s="1">
        <v>0.16693713687693801</v>
      </c>
      <c r="D36" s="1">
        <v>0.15238237582757599</v>
      </c>
      <c r="E36" s="1">
        <v>0.157492274138191</v>
      </c>
      <c r="F36" s="1">
        <v>0.168034549418563</v>
      </c>
      <c r="G36" s="1">
        <v>0.16345338785541899</v>
      </c>
      <c r="H36" s="1">
        <v>0.162652207715686</v>
      </c>
      <c r="I36" s="1">
        <v>0.16066823459049401</v>
      </c>
      <c r="J36" s="1">
        <v>0.15631316457973099</v>
      </c>
      <c r="K36" s="1">
        <v>0.16271696093650001</v>
      </c>
      <c r="L36" s="1">
        <v>0.18895176683742701</v>
      </c>
      <c r="M36" s="1">
        <v>0.14642217874455901</v>
      </c>
      <c r="N36" s="1">
        <v>0.154188005596339</v>
      </c>
      <c r="O36" s="1">
        <v>0.15244975435269101</v>
      </c>
      <c r="P36" s="1">
        <v>0.160737679557553</v>
      </c>
      <c r="Q36" s="1">
        <v>0.172968714755972</v>
      </c>
      <c r="R36" s="1">
        <v>0.14593082863414</v>
      </c>
      <c r="S36" s="1">
        <v>0.168791249278993</v>
      </c>
      <c r="T36" s="1">
        <v>0.164147055326816</v>
      </c>
      <c r="U36" s="1">
        <v>0.17053661038707699</v>
      </c>
      <c r="V36" s="1">
        <v>0.15401776269027001</v>
      </c>
      <c r="W36" s="1">
        <v>0.15021489629196499</v>
      </c>
      <c r="X36" s="1">
        <v>0.13688500940530901</v>
      </c>
      <c r="Y36" s="1">
        <v>0.16488522977872799</v>
      </c>
      <c r="Z36" s="1">
        <v>0.16542030689964099</v>
      </c>
      <c r="AA36" s="1">
        <v>0.169022331154428</v>
      </c>
      <c r="AB36" s="1">
        <v>0.17505634935056599</v>
      </c>
      <c r="AC36" s="1">
        <v>0.156594331847554</v>
      </c>
      <c r="AD36" s="1">
        <f>AVERAGE(C36:AC36)</f>
        <v>0.16103223528996763</v>
      </c>
      <c r="AE36" s="1">
        <f>_xlfn.STDEV.P(C36:AC36)</f>
        <v>1.0386798003131709E-2</v>
      </c>
      <c r="AF36" s="1">
        <f>AE36/AD36</f>
        <v>6.450135890139265E-2</v>
      </c>
    </row>
    <row r="37" spans="1:32" ht="15" x14ac:dyDescent="0.15">
      <c r="A37" t="s">
        <v>4</v>
      </c>
      <c r="B37" s="4">
        <v>43649.704861111109</v>
      </c>
      <c r="C37" s="1">
        <v>0.14799658684230599</v>
      </c>
      <c r="D37" s="1">
        <v>0.14087399299137099</v>
      </c>
      <c r="E37" s="1">
        <v>0.13513630409062</v>
      </c>
      <c r="F37" s="1">
        <v>0.14677951246604801</v>
      </c>
      <c r="G37" s="1">
        <v>0.13912675100529601</v>
      </c>
      <c r="H37" s="1">
        <v>0.139040505015601</v>
      </c>
      <c r="I37" s="1">
        <v>0.12625084321805399</v>
      </c>
      <c r="J37" s="1">
        <v>0.122916120179809</v>
      </c>
      <c r="K37" s="1">
        <v>0.14653429387650899</v>
      </c>
      <c r="L37" s="1">
        <v>0.14684244036064101</v>
      </c>
      <c r="M37" s="1">
        <v>0.12729169763426201</v>
      </c>
      <c r="N37" s="1">
        <v>0.14389512388054301</v>
      </c>
      <c r="O37" s="1">
        <v>0.132595520793933</v>
      </c>
      <c r="P37" s="1">
        <v>0.14534163600970201</v>
      </c>
      <c r="Q37" s="1">
        <v>0.14317938210224901</v>
      </c>
      <c r="R37" s="1">
        <v>0.139114203834519</v>
      </c>
      <c r="S37" s="1">
        <v>0.14861690783781401</v>
      </c>
      <c r="T37" s="1">
        <v>0.138509882528495</v>
      </c>
      <c r="U37" s="1">
        <v>0.15923504603123201</v>
      </c>
      <c r="V37" s="1">
        <v>0.149663117828923</v>
      </c>
      <c r="W37" s="1">
        <v>0.155814853052574</v>
      </c>
      <c r="X37" s="1">
        <v>0.132548192071129</v>
      </c>
      <c r="Y37" s="1">
        <v>0.15164664312450199</v>
      </c>
      <c r="Z37" s="1">
        <v>0.13521413953434899</v>
      </c>
      <c r="AA37" s="1">
        <v>0.13574618765357899</v>
      </c>
      <c r="AB37" s="1">
        <v>0.14017637295228499</v>
      </c>
      <c r="AC37" s="1">
        <v>0.13260540227899101</v>
      </c>
      <c r="AD37" s="1">
        <f>AVERAGE(C37:AC37)</f>
        <v>0.14084043182204947</v>
      </c>
      <c r="AE37" s="1">
        <f>_xlfn.STDEV.P(C37:AC37)</f>
        <v>8.681839164645393E-3</v>
      </c>
      <c r="AF37" s="1">
        <f>AE37/AD37</f>
        <v>6.1643088226361116E-2</v>
      </c>
    </row>
    <row r="38" spans="1:32" ht="15" x14ac:dyDescent="0.15">
      <c r="A38" t="s">
        <v>4</v>
      </c>
      <c r="B38" s="4">
        <v>43655.982638888891</v>
      </c>
      <c r="C38" s="1">
        <v>0.191260103376554</v>
      </c>
      <c r="D38" s="1">
        <v>0.213339346400028</v>
      </c>
      <c r="E38" s="1">
        <v>0.17502762206025299</v>
      </c>
      <c r="F38" s="1">
        <v>0.205661577321095</v>
      </c>
      <c r="G38" s="1">
        <v>0.18554208400809899</v>
      </c>
      <c r="H38" s="1">
        <v>0.19214157610895799</v>
      </c>
      <c r="I38" s="1">
        <v>0.180395466706056</v>
      </c>
      <c r="J38" s="1">
        <v>0.19342275606870701</v>
      </c>
      <c r="K38" s="1">
        <v>0.19478071269504299</v>
      </c>
      <c r="L38" s="1">
        <v>0.213081614716948</v>
      </c>
      <c r="M38" s="1">
        <v>0.19001055018305099</v>
      </c>
      <c r="N38" s="1">
        <v>0.195261745192259</v>
      </c>
      <c r="O38" s="1">
        <v>0.189333239160557</v>
      </c>
      <c r="P38" s="1">
        <v>0.20813840609441001</v>
      </c>
      <c r="Q38" s="1">
        <v>0.21432595873187499</v>
      </c>
      <c r="R38" s="1">
        <v>0.19264056263165499</v>
      </c>
      <c r="S38" s="1">
        <v>0.21170568645490501</v>
      </c>
      <c r="T38" s="1">
        <v>0.224978491247429</v>
      </c>
      <c r="U38" s="1">
        <v>0.19579201642614699</v>
      </c>
      <c r="V38" s="1">
        <v>0.18470593946312699</v>
      </c>
      <c r="W38" s="1">
        <v>0.187019954862089</v>
      </c>
      <c r="X38" s="1">
        <v>0.17604991330228001</v>
      </c>
      <c r="Y38" s="1">
        <v>0.19167860643497001</v>
      </c>
      <c r="Z38" s="1">
        <v>0.195683358993613</v>
      </c>
      <c r="AA38" s="1">
        <v>0.21809028392977001</v>
      </c>
      <c r="AB38" s="1">
        <v>0.20350656307323001</v>
      </c>
      <c r="AC38" s="1">
        <v>0.19837267679268</v>
      </c>
      <c r="AD38" s="1">
        <f>AVERAGE(C38:AC38)</f>
        <v>0.19710914120132547</v>
      </c>
      <c r="AE38" s="1">
        <f>_xlfn.STDEV.P(C38:AC38)</f>
        <v>1.2660073214757202E-2</v>
      </c>
      <c r="AF38" s="1">
        <f>AE38/AD38</f>
        <v>6.4228747269647529E-2</v>
      </c>
    </row>
    <row r="39" spans="1:32" ht="15" x14ac:dyDescent="0.15">
      <c r="A39" t="s">
        <v>4</v>
      </c>
      <c r="B39" s="4">
        <v>43664.604166666664</v>
      </c>
      <c r="C39" s="1">
        <v>0.16267599569539101</v>
      </c>
      <c r="D39" s="1">
        <v>0.15557862391972899</v>
      </c>
      <c r="E39" s="1">
        <v>0.152551894957344</v>
      </c>
      <c r="F39" s="1">
        <v>0.157250687818482</v>
      </c>
      <c r="G39" s="1">
        <v>0.16043496486186301</v>
      </c>
      <c r="H39" s="1">
        <v>0.17106055647138699</v>
      </c>
      <c r="I39" s="1">
        <v>0.14934572321887599</v>
      </c>
      <c r="J39" s="1">
        <v>0.17094063064526999</v>
      </c>
      <c r="K39" s="1">
        <v>0.169280076118838</v>
      </c>
      <c r="L39" s="1">
        <v>0.18166812788293701</v>
      </c>
      <c r="M39" s="1">
        <v>0.15822804512156</v>
      </c>
      <c r="N39" s="1">
        <v>0.16901578770631701</v>
      </c>
      <c r="O39" s="1">
        <v>0.15975871260698599</v>
      </c>
      <c r="P39" s="1">
        <v>0.17157807562171401</v>
      </c>
      <c r="Q39" s="1">
        <v>0.176999294517827</v>
      </c>
      <c r="R39" s="1">
        <v>0.15881334590107199</v>
      </c>
      <c r="S39" s="1">
        <v>0.16583737570912299</v>
      </c>
      <c r="T39" s="1">
        <v>0.15777371433854601</v>
      </c>
      <c r="U39" s="1">
        <v>0.16651935224973999</v>
      </c>
      <c r="V39" s="1">
        <v>0.16573411300089799</v>
      </c>
      <c r="W39" s="1">
        <v>0.157130312059757</v>
      </c>
      <c r="X39" s="1">
        <v>0.14494161453799501</v>
      </c>
      <c r="Y39" s="1">
        <v>0.1628799667102</v>
      </c>
      <c r="Z39" s="1">
        <v>0.17065533286682899</v>
      </c>
      <c r="AA39" s="1">
        <v>0.16881601495456799</v>
      </c>
      <c r="AB39" s="1">
        <v>0.174122176519936</v>
      </c>
      <c r="AC39" s="1">
        <v>0.16598417711241001</v>
      </c>
      <c r="AD39" s="1">
        <f>AVERAGE(C39:AC39)</f>
        <v>0.16391017381946649</v>
      </c>
      <c r="AE39" s="1">
        <f>_xlfn.STDEV.P(C39:AC39)</f>
        <v>8.3475686207338771E-3</v>
      </c>
      <c r="AF39" s="1">
        <f>AE39/AD39</f>
        <v>5.0927702815616767E-2</v>
      </c>
    </row>
    <row r="40" spans="1:32" ht="15" x14ac:dyDescent="0.15">
      <c r="A40" t="s">
        <v>4</v>
      </c>
      <c r="B40" s="4">
        <v>43683.635416666664</v>
      </c>
      <c r="C40" s="1">
        <v>0.25639108032734398</v>
      </c>
      <c r="D40" s="1">
        <v>0.237446038097059</v>
      </c>
      <c r="E40" s="1">
        <v>0.226566476646859</v>
      </c>
      <c r="F40" s="1">
        <v>0.239858267968898</v>
      </c>
      <c r="G40" s="1">
        <v>0.24461632440025899</v>
      </c>
      <c r="H40" s="1">
        <v>0.24279186719615101</v>
      </c>
      <c r="I40" s="1">
        <v>0.22958760093622499</v>
      </c>
      <c r="J40" s="1">
        <v>0.25463665709932198</v>
      </c>
      <c r="K40" s="1">
        <v>0.24950332409694401</v>
      </c>
      <c r="L40" s="1">
        <v>0.28916254669396502</v>
      </c>
      <c r="M40" s="1">
        <v>0.23158938571314</v>
      </c>
      <c r="N40" s="1">
        <v>0.24614585287027299</v>
      </c>
      <c r="O40" s="1">
        <v>0.247214338809356</v>
      </c>
      <c r="P40" s="1">
        <v>0.25055023783435298</v>
      </c>
      <c r="Q40" s="1">
        <v>0.26488633039298198</v>
      </c>
      <c r="R40" s="1">
        <v>0.23432349388851501</v>
      </c>
      <c r="S40" s="1">
        <v>0.28441830417820901</v>
      </c>
      <c r="T40" s="1">
        <v>0.20425100993701301</v>
      </c>
      <c r="U40" s="1">
        <v>0.238397962850248</v>
      </c>
      <c r="V40" s="1">
        <v>0.24878518847342601</v>
      </c>
      <c r="W40" s="1">
        <v>0.24684246824044301</v>
      </c>
      <c r="X40" s="1">
        <v>0.24562905413880701</v>
      </c>
      <c r="Y40" s="1">
        <v>0.24011442818468801</v>
      </c>
      <c r="Z40" s="1">
        <v>0.25723614826421498</v>
      </c>
      <c r="AA40" s="1">
        <v>0.21619689231431399</v>
      </c>
      <c r="AB40" s="1">
        <v>0.246105623285715</v>
      </c>
      <c r="AC40" s="1">
        <v>0.252262084045001</v>
      </c>
      <c r="AD40" s="1">
        <f>AVERAGE(C40:AC40)</f>
        <v>0.24538922173643427</v>
      </c>
      <c r="AE40" s="1">
        <f>_xlfn.STDEV.P(C40:AC40)</f>
        <v>1.7121008108812629E-2</v>
      </c>
      <c r="AF40" s="1">
        <f>AE40/AD40</f>
        <v>6.977082362322265E-2</v>
      </c>
    </row>
    <row r="41" spans="1:32" ht="15" x14ac:dyDescent="0.15">
      <c r="A41" t="s">
        <v>4</v>
      </c>
      <c r="B41" s="4">
        <v>43699.8125</v>
      </c>
      <c r="C41" s="1">
        <v>0.153310742400765</v>
      </c>
      <c r="D41" s="1">
        <v>0.13313571904371199</v>
      </c>
      <c r="E41" s="1">
        <v>0.13188174455295401</v>
      </c>
      <c r="F41" s="1">
        <v>0.136989515966217</v>
      </c>
      <c r="G41" s="1">
        <v>0.14944415347921</v>
      </c>
      <c r="H41" s="1">
        <v>0.143733854125837</v>
      </c>
      <c r="I41" s="1">
        <v>0.13438073362417699</v>
      </c>
      <c r="J41" s="1">
        <v>0.13635409122491701</v>
      </c>
      <c r="K41" s="1">
        <v>0.14961039869597001</v>
      </c>
      <c r="L41" s="1">
        <v>0.16843146999036601</v>
      </c>
      <c r="M41" s="1">
        <v>0.121758680763039</v>
      </c>
      <c r="N41" s="1">
        <v>0.14845284881458601</v>
      </c>
      <c r="O41" s="1">
        <v>0.14617788307745799</v>
      </c>
      <c r="P41" s="1">
        <v>0.14960679752220599</v>
      </c>
      <c r="Q41" s="1">
        <v>0.14867063060183799</v>
      </c>
      <c r="R41" s="1">
        <v>0.14185306774349801</v>
      </c>
      <c r="S41" s="1">
        <v>0.155805541409305</v>
      </c>
      <c r="T41" s="1">
        <v>0.13157212704511001</v>
      </c>
      <c r="U41" s="1">
        <v>0.15319300702831601</v>
      </c>
      <c r="V41" s="1">
        <v>0.13917396188522299</v>
      </c>
      <c r="W41" s="1">
        <v>0.14210797393662</v>
      </c>
      <c r="X41" s="1">
        <v>0.11888580299562899</v>
      </c>
      <c r="Y41" s="1">
        <v>0.14465132233455899</v>
      </c>
      <c r="Z41" s="1">
        <v>0.152718939376385</v>
      </c>
      <c r="AA41" s="1">
        <v>0.15661057375485099</v>
      </c>
      <c r="AB41" s="1">
        <v>0.15743099302170599</v>
      </c>
      <c r="AC41" s="1">
        <v>0.13740170602059901</v>
      </c>
      <c r="AD41" s="1">
        <f>AVERAGE(C41:AC41)</f>
        <v>0.14382756594203899</v>
      </c>
      <c r="AE41" s="1">
        <f>_xlfn.STDEV.P(C41:AC41)</f>
        <v>1.1024260680531814E-2</v>
      </c>
      <c r="AF41" s="1">
        <f>AE41/AD41</f>
        <v>7.6649150031326233E-2</v>
      </c>
    </row>
    <row r="42" spans="1:32" ht="15" x14ac:dyDescent="0.15">
      <c r="A42" t="s">
        <v>4</v>
      </c>
      <c r="B42" s="4">
        <v>43717.454861111109</v>
      </c>
      <c r="C42" s="1">
        <v>0.113585272381146</v>
      </c>
      <c r="D42" s="1">
        <v>0.13021753482465101</v>
      </c>
      <c r="E42" s="1">
        <v>0.145328565991903</v>
      </c>
      <c r="F42" s="1">
        <v>0.115772258737684</v>
      </c>
      <c r="G42" s="1">
        <v>0.12740414841869599</v>
      </c>
      <c r="H42" s="1">
        <v>0.12592771513685799</v>
      </c>
      <c r="I42" s="1">
        <v>0.11076116686246799</v>
      </c>
      <c r="J42" s="1">
        <v>0.111298680892518</v>
      </c>
      <c r="K42" s="1">
        <v>0.14023304785780799</v>
      </c>
      <c r="L42" s="1">
        <v>0.14835567887796</v>
      </c>
      <c r="M42" s="1">
        <v>0.14234290708720401</v>
      </c>
      <c r="N42" s="1">
        <v>0.122491762520594</v>
      </c>
      <c r="O42" s="1">
        <v>0.12623097409772199</v>
      </c>
      <c r="P42" s="1">
        <v>0.127533732045293</v>
      </c>
      <c r="Q42" s="1">
        <v>0.124165503870799</v>
      </c>
      <c r="R42" s="1">
        <v>0.13032067767017899</v>
      </c>
      <c r="S42" s="1">
        <v>0.129559039122845</v>
      </c>
      <c r="T42" s="1">
        <v>0.109902393373388</v>
      </c>
      <c r="U42" s="1">
        <v>0.13419130424627601</v>
      </c>
      <c r="V42" s="1">
        <v>0.12658224752184899</v>
      </c>
      <c r="W42" s="1">
        <v>0.124050832274993</v>
      </c>
      <c r="X42" s="1">
        <v>0.122137398984047</v>
      </c>
      <c r="Y42" s="1">
        <v>0.12861509950703301</v>
      </c>
      <c r="Z42" s="1">
        <v>0.114087361250961</v>
      </c>
      <c r="AA42" s="1">
        <v>0.12234462479630499</v>
      </c>
      <c r="AB42" s="1">
        <v>0.13150055810968</v>
      </c>
      <c r="AC42" s="1">
        <v>0.126410677645034</v>
      </c>
      <c r="AD42" s="1">
        <f>AVERAGE(C42:AC42)</f>
        <v>0.12634633941132942</v>
      </c>
      <c r="AE42" s="1">
        <f>_xlfn.STDEV.P(C42:AC42)</f>
        <v>9.9142383417863342E-3</v>
      </c>
      <c r="AF42" s="1">
        <f>AE42/AD42</f>
        <v>7.8468742252277152E-2</v>
      </c>
    </row>
    <row r="43" spans="1:32" ht="15" x14ac:dyDescent="0.15">
      <c r="A43" t="s">
        <v>5</v>
      </c>
      <c r="B43" s="4">
        <v>43291.239583333336</v>
      </c>
      <c r="C43" s="1">
        <v>0.16195243460484501</v>
      </c>
      <c r="D43" s="1">
        <v>0.173904431141095</v>
      </c>
      <c r="E43" s="1">
        <v>0.16727347335842899</v>
      </c>
      <c r="F43" s="1">
        <v>0.16941331613198701</v>
      </c>
      <c r="G43" s="1">
        <v>0.168102090610245</v>
      </c>
      <c r="H43" s="1">
        <v>0.170538432697628</v>
      </c>
      <c r="I43" s="1">
        <v>0.154811244597689</v>
      </c>
      <c r="J43" s="1">
        <v>0.16273364453706399</v>
      </c>
      <c r="K43" s="1">
        <v>0.164020715726652</v>
      </c>
      <c r="L43" s="1">
        <v>0.17072362322499601</v>
      </c>
      <c r="M43" s="1">
        <v>0.16778371186954799</v>
      </c>
      <c r="N43" s="1">
        <v>0.18560059254373401</v>
      </c>
      <c r="O43" s="1">
        <v>0.16541890742495599</v>
      </c>
      <c r="P43" s="1">
        <v>0.18333112265166401</v>
      </c>
      <c r="Q43" s="1">
        <v>0.16972982671735101</v>
      </c>
      <c r="R43" s="1">
        <v>0.17904966308776801</v>
      </c>
      <c r="S43" s="1">
        <v>0.17044059990046601</v>
      </c>
      <c r="T43" s="1">
        <v>0.174583123515544</v>
      </c>
      <c r="U43" s="1">
        <v>0.17263678998076201</v>
      </c>
      <c r="V43" s="1">
        <v>0.17318213693083501</v>
      </c>
      <c r="W43" s="1">
        <v>0.186808565054641</v>
      </c>
      <c r="X43" s="1">
        <v>0.16981336072078199</v>
      </c>
      <c r="Y43" s="1">
        <v>0.162186350854718</v>
      </c>
      <c r="Z43" s="1">
        <v>0.17242295900009899</v>
      </c>
      <c r="AA43" s="1">
        <v>0.17293668291080799</v>
      </c>
      <c r="AB43" s="1">
        <v>0.17354986865550501</v>
      </c>
      <c r="AC43" s="1">
        <v>0.17051386956123901</v>
      </c>
      <c r="AD43" s="1">
        <f>AVERAGE(C43:AC43)</f>
        <v>0.17086894585226109</v>
      </c>
      <c r="AE43" s="1">
        <f>_xlfn.STDEV.P(C43:AC43)</f>
        <v>7.01660469620944E-3</v>
      </c>
      <c r="AF43" s="1">
        <f>AE43/AD43</f>
        <v>4.1064247579991671E-2</v>
      </c>
    </row>
    <row r="44" spans="1:32" ht="15" x14ac:dyDescent="0.15">
      <c r="A44" t="s">
        <v>5</v>
      </c>
      <c r="B44" s="4">
        <v>43307.482638888891</v>
      </c>
      <c r="C44" s="1">
        <v>0.26568306287857801</v>
      </c>
      <c r="D44" s="1">
        <v>0.26869765874096602</v>
      </c>
      <c r="E44" s="1">
        <v>0.23808668867184599</v>
      </c>
      <c r="F44" s="1">
        <v>0.25699473455489702</v>
      </c>
      <c r="G44" s="1">
        <v>0.26726850669140401</v>
      </c>
      <c r="H44" s="1">
        <v>0.24740751030876201</v>
      </c>
      <c r="I44" s="1">
        <v>0.27760647226248703</v>
      </c>
      <c r="J44" s="1">
        <v>0.31003057493806102</v>
      </c>
      <c r="K44" s="1">
        <v>0.252377617860367</v>
      </c>
      <c r="L44" s="1">
        <v>0.27706084203525</v>
      </c>
      <c r="M44" s="1">
        <v>0.22567973587949899</v>
      </c>
      <c r="N44" s="1">
        <v>0.26486994385865398</v>
      </c>
      <c r="O44" s="1">
        <v>0.29298993487509101</v>
      </c>
      <c r="P44" s="1">
        <v>0.26095182673178102</v>
      </c>
      <c r="Q44" s="1">
        <v>0.27686059513129002</v>
      </c>
      <c r="R44" s="1">
        <v>0.29053598286523602</v>
      </c>
      <c r="S44" s="1">
        <v>0.25840938454949702</v>
      </c>
      <c r="T44" s="1">
        <v>0.29539704335295602</v>
      </c>
      <c r="U44" s="1">
        <v>0.279987675814099</v>
      </c>
      <c r="V44" s="1">
        <v>0.283669154845334</v>
      </c>
      <c r="W44" s="1">
        <v>0.244413015115024</v>
      </c>
      <c r="X44" s="1">
        <v>0.30078538182435799</v>
      </c>
      <c r="Y44" s="1">
        <v>0.27271018888330201</v>
      </c>
      <c r="Z44" s="1">
        <v>0.26041155651963699</v>
      </c>
      <c r="AA44" s="1">
        <v>0.27975020535504502</v>
      </c>
      <c r="AB44" s="1">
        <v>0.25865280632117299</v>
      </c>
      <c r="AC44" s="1">
        <v>0.26579848636928499</v>
      </c>
      <c r="AD44" s="1">
        <f>AVERAGE(C44:AC44)</f>
        <v>0.26937357730495848</v>
      </c>
      <c r="AE44" s="1">
        <f>_xlfn.STDEV.P(C44:AC44)</f>
        <v>1.9066040256993634E-2</v>
      </c>
      <c r="AF44" s="1">
        <f>AE44/AD44</f>
        <v>7.0779177556115402E-2</v>
      </c>
    </row>
    <row r="45" spans="1:32" ht="15" x14ac:dyDescent="0.15">
      <c r="A45" t="s">
        <v>5</v>
      </c>
      <c r="B45" s="4">
        <v>43376.3125</v>
      </c>
      <c r="C45" s="1">
        <v>0.19318834389970399</v>
      </c>
      <c r="D45" s="1">
        <v>0.19432595945874401</v>
      </c>
      <c r="E45" s="1">
        <v>0.18160353280230801</v>
      </c>
      <c r="F45" s="1">
        <v>0.176741906089774</v>
      </c>
      <c r="G45" s="1">
        <v>0.185424328966942</v>
      </c>
      <c r="H45" s="1">
        <v>0.19657786657121701</v>
      </c>
      <c r="I45" s="1">
        <v>0.18145174281627099</v>
      </c>
      <c r="J45" s="1">
        <v>0.18521682727338501</v>
      </c>
      <c r="K45" s="1">
        <v>0.199998957022474</v>
      </c>
      <c r="L45" s="1">
        <v>0.20223239121127001</v>
      </c>
      <c r="M45" s="1">
        <v>0.180556848496185</v>
      </c>
      <c r="N45" s="1">
        <v>0.19731083619592699</v>
      </c>
      <c r="O45" s="1">
        <v>0.20068950366559099</v>
      </c>
      <c r="P45" s="1">
        <v>0.200162391716735</v>
      </c>
      <c r="Q45" s="1">
        <v>0.19686259862302599</v>
      </c>
      <c r="R45" s="1">
        <v>0.196378564820893</v>
      </c>
      <c r="S45" s="1">
        <v>0.20005218638658601</v>
      </c>
      <c r="T45" s="1">
        <v>0.19155048589939899</v>
      </c>
      <c r="U45" s="1">
        <v>0.20251900328997299</v>
      </c>
      <c r="V45" s="1">
        <v>0.20261906879427999</v>
      </c>
      <c r="W45" s="1">
        <v>0.208266457991408</v>
      </c>
      <c r="X45" s="1">
        <v>0.186635486360789</v>
      </c>
      <c r="Y45" s="1">
        <v>0.19766929934776301</v>
      </c>
      <c r="Z45" s="1">
        <v>0.185890910033532</v>
      </c>
      <c r="AA45" s="1">
        <v>0.19507414752956401</v>
      </c>
      <c r="AB45" s="1">
        <v>0.19626282409679299</v>
      </c>
      <c r="AC45" s="1">
        <v>0.190590279272188</v>
      </c>
      <c r="AD45" s="1">
        <f>AVERAGE(C45:AC45)</f>
        <v>0.19355010180121188</v>
      </c>
      <c r="AE45" s="1">
        <f>_xlfn.STDEV.P(C45:AC45)</f>
        <v>7.9302540544853254E-3</v>
      </c>
      <c r="AF45" s="1">
        <f>AE45/AD45</f>
        <v>4.0972616292551452E-2</v>
      </c>
    </row>
    <row r="46" spans="1:32" ht="15" x14ac:dyDescent="0.15">
      <c r="A46" t="s">
        <v>5</v>
      </c>
      <c r="B46" s="4">
        <v>43583.416666666664</v>
      </c>
      <c r="C46" s="1">
        <v>0.233161927493342</v>
      </c>
      <c r="D46" s="1">
        <v>0.23435127030219499</v>
      </c>
      <c r="E46" s="1">
        <v>0.23448272254643801</v>
      </c>
      <c r="F46" s="1">
        <v>0.26439803978422299</v>
      </c>
      <c r="G46" s="1">
        <v>0.238428446135276</v>
      </c>
      <c r="H46" s="1">
        <v>0.239086682138134</v>
      </c>
      <c r="I46" s="1">
        <v>0.25004243105437501</v>
      </c>
      <c r="J46" s="1">
        <v>0.254070544285042</v>
      </c>
      <c r="K46" s="1">
        <v>0.244645919811562</v>
      </c>
      <c r="L46" s="1">
        <v>0.25032381962849598</v>
      </c>
      <c r="M46" s="1">
        <v>0.236224700180131</v>
      </c>
      <c r="N46" s="1">
        <v>0.24413535036648401</v>
      </c>
      <c r="O46" s="1">
        <v>0.25293716817502299</v>
      </c>
      <c r="P46" s="1">
        <v>0.21479239263132999</v>
      </c>
      <c r="Q46" s="1">
        <v>0.241579235444048</v>
      </c>
      <c r="R46" s="1">
        <v>0.26636704577030701</v>
      </c>
      <c r="S46" s="1">
        <v>0.23989403445997401</v>
      </c>
      <c r="T46" s="1">
        <v>0.26050563405670901</v>
      </c>
      <c r="U46" s="1">
        <v>0.24079129120324699</v>
      </c>
      <c r="V46" s="1">
        <v>0.239200805089364</v>
      </c>
      <c r="W46" s="1">
        <v>0.231912020080321</v>
      </c>
      <c r="X46" s="1">
        <v>0.22354579992437501</v>
      </c>
      <c r="Y46" s="1">
        <v>0.245303611362365</v>
      </c>
      <c r="Z46" s="1">
        <v>0.23005419834563301</v>
      </c>
      <c r="AA46" s="1">
        <v>0.24704274514282401</v>
      </c>
      <c r="AB46" s="1">
        <v>0.249891066587485</v>
      </c>
      <c r="AC46" s="1">
        <v>0.23344603475081399</v>
      </c>
      <c r="AD46" s="1">
        <f>AVERAGE(C46:AC46)</f>
        <v>0.24224499765738947</v>
      </c>
      <c r="AE46" s="1">
        <f>_xlfn.STDEV.P(C46:AC46)</f>
        <v>1.1556308810552984E-2</v>
      </c>
      <c r="AF46" s="1">
        <f>AE46/AD46</f>
        <v>4.7705046223068905E-2</v>
      </c>
    </row>
    <row r="47" spans="1:32" ht="15" x14ac:dyDescent="0.15">
      <c r="A47" t="s">
        <v>5</v>
      </c>
      <c r="B47" s="4">
        <v>43606.100694444445</v>
      </c>
      <c r="C47" s="1">
        <v>0.225743426884632</v>
      </c>
      <c r="D47" s="1">
        <v>0.22464884521115</v>
      </c>
      <c r="E47" s="1">
        <v>0.21385541961833099</v>
      </c>
      <c r="F47" s="1">
        <v>0.19879137399336599</v>
      </c>
      <c r="G47" s="1">
        <v>0.23000173078897701</v>
      </c>
      <c r="H47" s="1">
        <v>0.230614432669077</v>
      </c>
      <c r="I47" s="1">
        <v>0.22143906912851499</v>
      </c>
      <c r="J47" s="1">
        <v>0.230479190495116</v>
      </c>
      <c r="K47" s="1">
        <v>0.223524319585993</v>
      </c>
      <c r="L47" s="1">
        <v>0.23860435424080301</v>
      </c>
      <c r="M47" s="1">
        <v>0.205702220815877</v>
      </c>
      <c r="N47" s="1">
        <v>0.231837423812598</v>
      </c>
      <c r="O47" s="1">
        <v>0.23421854989580301</v>
      </c>
      <c r="P47" s="1">
        <v>0.24551275852365401</v>
      </c>
      <c r="Q47" s="1">
        <v>0.226783565019431</v>
      </c>
      <c r="R47" s="1">
        <v>0.22346666995655401</v>
      </c>
      <c r="S47" s="1">
        <v>0.229672751102524</v>
      </c>
      <c r="T47" s="1">
        <v>0.23284011392569701</v>
      </c>
      <c r="U47" s="1">
        <v>0.237195870972885</v>
      </c>
      <c r="V47" s="1">
        <v>0.22195147594856801</v>
      </c>
      <c r="W47" s="1">
        <v>0.21639005516078499</v>
      </c>
      <c r="X47" s="1">
        <v>0.20284228751219999</v>
      </c>
      <c r="Y47" s="1">
        <v>0.23317329038659901</v>
      </c>
      <c r="Z47" s="1">
        <v>0.219610631182454</v>
      </c>
      <c r="AA47" s="1">
        <v>0.22531895979038999</v>
      </c>
      <c r="AB47" s="1">
        <v>0.23595946956847899</v>
      </c>
      <c r="AC47" s="1">
        <v>0.228902012982096</v>
      </c>
      <c r="AD47" s="1">
        <f>AVERAGE(C47:AC47)</f>
        <v>0.22552149145083536</v>
      </c>
      <c r="AE47" s="1">
        <f>_xlfn.STDEV.P(C47:AC47)</f>
        <v>1.0644214743349079E-2</v>
      </c>
      <c r="AF47" s="1">
        <f>AE47/AD47</f>
        <v>4.7198227871198532E-2</v>
      </c>
    </row>
    <row r="48" spans="1:32" ht="15" x14ac:dyDescent="0.15">
      <c r="A48" t="s">
        <v>5</v>
      </c>
      <c r="B48" s="4">
        <v>43622.569444444445</v>
      </c>
      <c r="C48" s="1">
        <v>0.34254143090748601</v>
      </c>
      <c r="D48" s="1">
        <v>0.37629040025909399</v>
      </c>
      <c r="E48" s="1">
        <v>0.34313355003231399</v>
      </c>
      <c r="F48" s="1">
        <v>0.32688477215788397</v>
      </c>
      <c r="G48" s="1">
        <v>0.35034179778998498</v>
      </c>
      <c r="H48" s="1">
        <v>0.346492357507097</v>
      </c>
      <c r="I48" s="1">
        <v>0.35001469371057897</v>
      </c>
      <c r="J48" s="1">
        <v>0.33026079255489499</v>
      </c>
      <c r="K48" s="1">
        <v>0.36359749999686702</v>
      </c>
      <c r="L48" s="1">
        <v>0.36153785182557802</v>
      </c>
      <c r="M48" s="1">
        <v>0.32645001824460101</v>
      </c>
      <c r="N48" s="1">
        <v>0.355935671430684</v>
      </c>
      <c r="O48" s="1">
        <v>0.3524357904789</v>
      </c>
      <c r="P48" s="1">
        <v>0.36172887996976499</v>
      </c>
      <c r="Q48" s="1">
        <v>0.35839709857660101</v>
      </c>
      <c r="R48" s="1">
        <v>0.29410687410369202</v>
      </c>
      <c r="S48" s="1">
        <v>0.36323867949376398</v>
      </c>
      <c r="T48" s="1">
        <v>0.30741769702321098</v>
      </c>
      <c r="U48" s="1">
        <v>0.33686171206813997</v>
      </c>
      <c r="V48" s="1">
        <v>0.323960844431466</v>
      </c>
      <c r="W48" s="1">
        <v>0.38223399966139299</v>
      </c>
      <c r="X48" s="1">
        <v>0.34141605140918202</v>
      </c>
      <c r="Y48" s="1">
        <v>0.35766771758705501</v>
      </c>
      <c r="Z48" s="1">
        <v>0.34152415590569402</v>
      </c>
      <c r="AA48" s="1">
        <v>0.30348461607383198</v>
      </c>
      <c r="AB48" s="1">
        <v>0.340429830268762</v>
      </c>
      <c r="AC48" s="1">
        <v>0.35101677246218699</v>
      </c>
      <c r="AD48" s="1">
        <f>AVERAGE(C48:AC48)</f>
        <v>0.34405190947891501</v>
      </c>
      <c r="AE48" s="1">
        <f>_xlfn.STDEV.P(C48:AC48)</f>
        <v>2.0511784793480078E-2</v>
      </c>
      <c r="AF48" s="1">
        <f>AE48/AD48</f>
        <v>5.9618284998174467E-2</v>
      </c>
    </row>
    <row r="49" spans="1:32" ht="15" x14ac:dyDescent="0.15">
      <c r="A49" t="s">
        <v>5</v>
      </c>
      <c r="B49" s="4">
        <v>43624.84375</v>
      </c>
      <c r="C49" s="1">
        <v>0.242413672039549</v>
      </c>
      <c r="D49" s="1">
        <v>0.24498230294234599</v>
      </c>
      <c r="E49" s="1">
        <v>0.225076066725862</v>
      </c>
      <c r="F49" s="1">
        <v>0.24885623513317101</v>
      </c>
      <c r="G49" s="1">
        <v>0.23917716125608099</v>
      </c>
      <c r="H49" s="1">
        <v>0.245662573564775</v>
      </c>
      <c r="I49" s="1">
        <v>0.24854649724165001</v>
      </c>
      <c r="J49" s="1">
        <v>0.27921552390036097</v>
      </c>
      <c r="K49" s="1">
        <v>0.240953438789373</v>
      </c>
      <c r="L49" s="1">
        <v>0.26925292916640597</v>
      </c>
      <c r="M49" s="1">
        <v>0.24588325474730199</v>
      </c>
      <c r="N49" s="1">
        <v>0.253148468581677</v>
      </c>
      <c r="O49" s="1">
        <v>0.25176275426432598</v>
      </c>
      <c r="P49" s="1">
        <v>0.22118202516163499</v>
      </c>
      <c r="Q49" s="1">
        <v>0.234156182839276</v>
      </c>
      <c r="R49" s="1">
        <v>0.26139799259645002</v>
      </c>
      <c r="S49" s="1">
        <v>0.24404915418380199</v>
      </c>
      <c r="T49" s="1">
        <v>0.26002228334268501</v>
      </c>
      <c r="U49" s="1">
        <v>0.24005462715377901</v>
      </c>
      <c r="V49" s="1">
        <v>0.254970496467881</v>
      </c>
      <c r="W49" s="1">
        <v>0.23265680466782901</v>
      </c>
      <c r="X49" s="1">
        <v>0.21771746012649901</v>
      </c>
      <c r="Y49" s="1">
        <v>0.26042721352265502</v>
      </c>
      <c r="Z49" s="1">
        <v>0.24387234350302101</v>
      </c>
      <c r="AA49" s="1">
        <v>0.248276647189101</v>
      </c>
      <c r="AB49" s="1">
        <v>0.243408313276539</v>
      </c>
      <c r="AC49" s="1">
        <v>0.245067910983048</v>
      </c>
      <c r="AD49" s="1">
        <f>AVERAGE(C49:AC49)</f>
        <v>0.24600704938396589</v>
      </c>
      <c r="AE49" s="1">
        <f>_xlfn.STDEV.P(C49:AC49)</f>
        <v>1.3305126470538612E-2</v>
      </c>
      <c r="AF49" s="1">
        <f>AE49/AD49</f>
        <v>5.4084330119223832E-2</v>
      </c>
    </row>
    <row r="50" spans="1:32" ht="15" x14ac:dyDescent="0.15">
      <c r="A50" t="s">
        <v>5</v>
      </c>
      <c r="B50" s="4">
        <v>43634.972222222219</v>
      </c>
      <c r="C50" s="1">
        <v>0.24738436906228001</v>
      </c>
      <c r="D50" s="1">
        <v>0.234555962055575</v>
      </c>
      <c r="E50" s="1">
        <v>0.23895336222024499</v>
      </c>
      <c r="F50" s="1">
        <v>0.239397194822729</v>
      </c>
      <c r="G50" s="1">
        <v>0.25565903827554198</v>
      </c>
      <c r="H50" s="1">
        <v>0.23406506920377401</v>
      </c>
      <c r="I50" s="1">
        <v>0.25571963052646002</v>
      </c>
      <c r="J50" s="1">
        <v>0.26822666387618999</v>
      </c>
      <c r="K50" s="1">
        <v>0.24263823779208099</v>
      </c>
      <c r="L50" s="1">
        <v>0.24650857413392299</v>
      </c>
      <c r="M50" s="1">
        <v>0.22947422934652101</v>
      </c>
      <c r="N50" s="1">
        <v>0.24012161516205299</v>
      </c>
      <c r="O50" s="1">
        <v>0.29783821986770098</v>
      </c>
      <c r="P50" s="1">
        <v>0.207143368683607</v>
      </c>
      <c r="Q50" s="1">
        <v>0.25992514465281602</v>
      </c>
      <c r="R50" s="1">
        <v>0.26470642998039401</v>
      </c>
      <c r="S50" s="1">
        <v>0.24261788200703899</v>
      </c>
      <c r="T50" s="1">
        <v>0.25013091973796298</v>
      </c>
      <c r="U50" s="1">
        <v>0.25608729229768901</v>
      </c>
      <c r="V50" s="1">
        <v>0.24039341033720299</v>
      </c>
      <c r="W50" s="1">
        <v>0.22619259158892399</v>
      </c>
      <c r="X50" s="1">
        <v>0.25924731420324798</v>
      </c>
      <c r="Y50" s="1">
        <v>0.23080433724001501</v>
      </c>
      <c r="Z50" s="1">
        <v>0.25833319367170299</v>
      </c>
      <c r="AA50" s="1">
        <v>0.258676864085299</v>
      </c>
      <c r="AB50" s="1">
        <v>0.25956455941791801</v>
      </c>
      <c r="AC50" s="1">
        <v>0.23366773666761401</v>
      </c>
      <c r="AD50" s="1">
        <f>AVERAGE(C50:AC50)</f>
        <v>0.24733456336727797</v>
      </c>
      <c r="AE50" s="1">
        <f>_xlfn.STDEV.P(C50:AC50)</f>
        <v>1.6856357223291728E-2</v>
      </c>
      <c r="AF50" s="1">
        <f>AE50/AD50</f>
        <v>6.8152048762634851E-2</v>
      </c>
    </row>
    <row r="51" spans="1:32" ht="15" x14ac:dyDescent="0.15">
      <c r="A51" t="s">
        <v>5</v>
      </c>
      <c r="B51" s="4">
        <v>43643.128472222219</v>
      </c>
      <c r="C51" s="1">
        <v>0.31286431236153101</v>
      </c>
      <c r="D51" s="1">
        <v>0.30376737607812199</v>
      </c>
      <c r="E51" s="1">
        <v>0.31253463310053098</v>
      </c>
      <c r="F51" s="1">
        <v>0.29505433882166099</v>
      </c>
      <c r="G51" s="1">
        <v>0.29134374929436502</v>
      </c>
      <c r="H51" s="1">
        <v>0.30116170841464002</v>
      </c>
      <c r="I51" s="1">
        <v>0.297539681716674</v>
      </c>
      <c r="J51" s="1">
        <v>0.282032447431941</v>
      </c>
      <c r="K51" s="1">
        <v>0.32550861669213799</v>
      </c>
      <c r="L51" s="1">
        <v>0.26609424098307699</v>
      </c>
      <c r="M51" s="1">
        <v>0.32052487514276401</v>
      </c>
      <c r="N51" s="1">
        <v>0.30897124113714303</v>
      </c>
      <c r="O51" s="1">
        <v>0.241738299356304</v>
      </c>
      <c r="P51" s="1">
        <v>0.31477308971851697</v>
      </c>
      <c r="Q51" s="1">
        <v>0.28536593411516398</v>
      </c>
      <c r="R51" s="1">
        <v>0.259753152577688</v>
      </c>
      <c r="S51" s="1">
        <v>0.29484720801874598</v>
      </c>
      <c r="T51" s="1">
        <v>0.25227709714261598</v>
      </c>
      <c r="U51" s="1">
        <v>0.27006572692216602</v>
      </c>
      <c r="V51" s="1">
        <v>0.29734193102596901</v>
      </c>
      <c r="W51" s="1">
        <v>0.33890848866859702</v>
      </c>
      <c r="X51" s="1">
        <v>0.28245085087982902</v>
      </c>
      <c r="Y51" s="1">
        <v>0.28796555494138698</v>
      </c>
      <c r="Z51" s="1">
        <v>0.29956486822165102</v>
      </c>
      <c r="AA51" s="1">
        <v>0.27241881144222602</v>
      </c>
      <c r="AB51" s="1">
        <v>0.270861252154113</v>
      </c>
      <c r="AC51" s="1">
        <v>0.29736326809779001</v>
      </c>
      <c r="AD51" s="1">
        <f>AVERAGE(C51:AC51)</f>
        <v>0.29196639831323518</v>
      </c>
      <c r="AE51" s="1">
        <f>_xlfn.STDEV.P(C51:AC51)</f>
        <v>2.2413052134513209E-2</v>
      </c>
      <c r="AF51" s="1">
        <f>AE51/AD51</f>
        <v>7.6765861633390567E-2</v>
      </c>
    </row>
    <row r="52" spans="1:32" ht="15" x14ac:dyDescent="0.15">
      <c r="A52" t="s">
        <v>5</v>
      </c>
      <c r="B52" s="4">
        <v>43647.878472222219</v>
      </c>
      <c r="C52" s="1">
        <v>0.19604956099222101</v>
      </c>
      <c r="D52" s="1">
        <v>0.19929032011048201</v>
      </c>
      <c r="E52" s="1">
        <v>0.18241384140959699</v>
      </c>
      <c r="F52" s="1">
        <v>0.17377222895911901</v>
      </c>
      <c r="G52" s="1">
        <v>0.19890756234146001</v>
      </c>
      <c r="H52" s="1">
        <v>0.19818689480287899</v>
      </c>
      <c r="I52" s="1">
        <v>0.19907955909796499</v>
      </c>
      <c r="J52" s="1">
        <v>0.19708485048271701</v>
      </c>
      <c r="K52" s="1">
        <v>0.200789547524865</v>
      </c>
      <c r="L52" s="1">
        <v>0.19846233661871901</v>
      </c>
      <c r="M52" s="1">
        <v>0.17720478583500801</v>
      </c>
      <c r="N52" s="1">
        <v>0.20213398431696999</v>
      </c>
      <c r="O52" s="1">
        <v>0.20659693824970199</v>
      </c>
      <c r="P52" s="1">
        <v>0.19421017059491399</v>
      </c>
      <c r="Q52" s="1">
        <v>0.197258745917403</v>
      </c>
      <c r="R52" s="1">
        <v>0.190545673033619</v>
      </c>
      <c r="S52" s="1">
        <v>0.20214114193258401</v>
      </c>
      <c r="T52" s="1">
        <v>0.20007041172898599</v>
      </c>
      <c r="U52" s="1">
        <v>0.20488634247677201</v>
      </c>
      <c r="V52" s="1">
        <v>0.19415531272995301</v>
      </c>
      <c r="W52" s="1">
        <v>0.196708125743178</v>
      </c>
      <c r="X52" s="1">
        <v>0.17865494531871101</v>
      </c>
      <c r="Y52" s="1">
        <v>0.20584779091009101</v>
      </c>
      <c r="Z52" s="1">
        <v>0.202551147448085</v>
      </c>
      <c r="AA52" s="1">
        <v>0.19933951030071001</v>
      </c>
      <c r="AB52" s="1">
        <v>0.20795978940667101</v>
      </c>
      <c r="AC52" s="1">
        <v>0.199027225143102</v>
      </c>
      <c r="AD52" s="1">
        <f>AVERAGE(C52:AC52)</f>
        <v>0.19641958308986976</v>
      </c>
      <c r="AE52" s="1">
        <f>_xlfn.STDEV.P(C52:AC52)</f>
        <v>8.6422839755420887E-3</v>
      </c>
      <c r="AF52" s="1">
        <f>AE52/AD52</f>
        <v>4.3999095403781101E-2</v>
      </c>
    </row>
    <row r="53" spans="1:32" ht="15" x14ac:dyDescent="0.15">
      <c r="A53" t="s">
        <v>5</v>
      </c>
      <c r="B53" s="4">
        <v>43649.458333333336</v>
      </c>
      <c r="C53" s="1">
        <v>0.16637980613955</v>
      </c>
      <c r="D53" s="1">
        <v>0.16816493346065201</v>
      </c>
      <c r="E53" s="1">
        <v>0.14884009727752701</v>
      </c>
      <c r="F53" s="1">
        <v>0.16347315399920301</v>
      </c>
      <c r="G53" s="1">
        <v>0.158968703073221</v>
      </c>
      <c r="H53" s="1">
        <v>0.18081720389456299</v>
      </c>
      <c r="I53" s="1">
        <v>0.166045996121501</v>
      </c>
      <c r="J53" s="1">
        <v>0.157468758902404</v>
      </c>
      <c r="K53" s="1">
        <v>0.17286471615463</v>
      </c>
      <c r="L53" s="1">
        <v>0.158182265649121</v>
      </c>
      <c r="M53" s="1">
        <v>0.15986649679555601</v>
      </c>
      <c r="N53" s="1">
        <v>0.17765950975287101</v>
      </c>
      <c r="O53" s="1">
        <v>0.16811172045633799</v>
      </c>
      <c r="P53" s="1">
        <v>0.176967352405246</v>
      </c>
      <c r="Q53" s="1">
        <v>0.16949359118892801</v>
      </c>
      <c r="R53" s="1">
        <v>0.17334808273535199</v>
      </c>
      <c r="S53" s="1">
        <v>0.16701790622337501</v>
      </c>
      <c r="T53" s="1">
        <v>0.156750774259383</v>
      </c>
      <c r="U53" s="1">
        <v>0.18268245588409099</v>
      </c>
      <c r="V53" s="1">
        <v>0.175940809843672</v>
      </c>
      <c r="W53" s="1">
        <v>0.15224528846966301</v>
      </c>
      <c r="X53" s="1">
        <v>0.16794503366553001</v>
      </c>
      <c r="Y53" s="1">
        <v>0.16231078971840901</v>
      </c>
      <c r="Z53" s="1">
        <v>0.15603179464738501</v>
      </c>
      <c r="AA53" s="1">
        <v>0.15935934741747901</v>
      </c>
      <c r="AB53" s="1">
        <v>0.17273822510039799</v>
      </c>
      <c r="AC53" s="1">
        <v>0.174174376892199</v>
      </c>
      <c r="AD53" s="1">
        <f>AVERAGE(C53:AC53)</f>
        <v>0.1664388588936388</v>
      </c>
      <c r="AE53" s="1">
        <f>_xlfn.STDEV.P(C53:AC53)</f>
        <v>8.6943564245714061E-3</v>
      </c>
      <c r="AF53" s="1">
        <f>AE53/AD53</f>
        <v>5.2237539252341626E-2</v>
      </c>
    </row>
    <row r="54" spans="1:32" ht="15" x14ac:dyDescent="0.15">
      <c r="A54" t="s">
        <v>5</v>
      </c>
      <c r="B54" s="4">
        <v>43653.850694444445</v>
      </c>
      <c r="C54" s="1">
        <v>0.20381770236188201</v>
      </c>
      <c r="D54" s="1">
        <v>0.200271428382468</v>
      </c>
      <c r="E54" s="1">
        <v>0.18458337813025499</v>
      </c>
      <c r="F54" s="1">
        <v>0.18767453819963201</v>
      </c>
      <c r="G54" s="1">
        <v>0.19896138381267001</v>
      </c>
      <c r="H54" s="1">
        <v>0.20016017579238399</v>
      </c>
      <c r="I54" s="1">
        <v>0.197612499403819</v>
      </c>
      <c r="J54" s="1">
        <v>0.19040086948926199</v>
      </c>
      <c r="K54" s="1">
        <v>0.21266952143583201</v>
      </c>
      <c r="L54" s="1">
        <v>0.204247111896844</v>
      </c>
      <c r="M54" s="1">
        <v>0.18460434851650501</v>
      </c>
      <c r="N54" s="1">
        <v>0.20633037533710699</v>
      </c>
      <c r="O54" s="1">
        <v>0.2113916875422</v>
      </c>
      <c r="P54" s="1">
        <v>0.20069195416715799</v>
      </c>
      <c r="Q54" s="1">
        <v>0.19938175971823599</v>
      </c>
      <c r="R54" s="1">
        <v>0.19480641086320999</v>
      </c>
      <c r="S54" s="1">
        <v>0.20733765448067401</v>
      </c>
      <c r="T54" s="1">
        <v>0.18606867137560301</v>
      </c>
      <c r="U54" s="1">
        <v>0.20883748528512699</v>
      </c>
      <c r="V54" s="1">
        <v>0.204775287220965</v>
      </c>
      <c r="W54" s="1">
        <v>0.19937067437626199</v>
      </c>
      <c r="X54" s="1">
        <v>0.18948136085837999</v>
      </c>
      <c r="Y54" s="1">
        <v>0.21170142013772</v>
      </c>
      <c r="Z54" s="1">
        <v>0.20392783507356901</v>
      </c>
      <c r="AA54" s="1">
        <v>0.204689845203539</v>
      </c>
      <c r="AB54" s="1">
        <v>0.20851978614584701</v>
      </c>
      <c r="AC54" s="1">
        <v>0.204285656987163</v>
      </c>
      <c r="AD54" s="1">
        <f>AVERAGE(C54:AC54)</f>
        <v>0.20024447489608568</v>
      </c>
      <c r="AE54" s="1">
        <f>_xlfn.STDEV.P(C54:AC54)</f>
        <v>8.2551803799037187E-3</v>
      </c>
      <c r="AF54" s="1">
        <f>AE54/AD54</f>
        <v>4.1225508889509384E-2</v>
      </c>
    </row>
    <row r="55" spans="1:32" ht="15" x14ac:dyDescent="0.15">
      <c r="A55" t="s">
        <v>5</v>
      </c>
      <c r="B55" s="4">
        <v>43664.625</v>
      </c>
      <c r="C55" s="1">
        <v>0.19998476049515401</v>
      </c>
      <c r="D55" s="1">
        <v>0.197704974005217</v>
      </c>
      <c r="E55" s="1">
        <v>0.186625054579416</v>
      </c>
      <c r="F55" s="1">
        <v>0.19039731019501099</v>
      </c>
      <c r="G55" s="1">
        <v>0.199536996061284</v>
      </c>
      <c r="H55" s="1">
        <v>0.20769396656863501</v>
      </c>
      <c r="I55" s="1">
        <v>0.19266338293007099</v>
      </c>
      <c r="J55" s="1">
        <v>0.19379871384174699</v>
      </c>
      <c r="K55" s="1">
        <v>0.209243161016062</v>
      </c>
      <c r="L55" s="1">
        <v>0.208557494297577</v>
      </c>
      <c r="M55" s="1">
        <v>0.190489627168828</v>
      </c>
      <c r="N55" s="1">
        <v>0.20794590054614401</v>
      </c>
      <c r="O55" s="1">
        <v>0.19450637936078899</v>
      </c>
      <c r="P55" s="1">
        <v>0.21437547748824101</v>
      </c>
      <c r="Q55" s="1">
        <v>0.19985407273957201</v>
      </c>
      <c r="R55" s="1">
        <v>0.19001336683129499</v>
      </c>
      <c r="S55" s="1">
        <v>0.19596014704147599</v>
      </c>
      <c r="T55" s="1">
        <v>0.18383402305690899</v>
      </c>
      <c r="U55" s="1">
        <v>0.20015264232169</v>
      </c>
      <c r="V55" s="1">
        <v>0.20288236973944199</v>
      </c>
      <c r="W55" s="1">
        <v>0.194111969663878</v>
      </c>
      <c r="X55" s="1">
        <v>0.19156875492141601</v>
      </c>
      <c r="Y55" s="1">
        <v>0.19673180741981799</v>
      </c>
      <c r="Z55" s="1">
        <v>0.20144463696783399</v>
      </c>
      <c r="AA55" s="1">
        <v>0.20267269628118401</v>
      </c>
      <c r="AB55" s="1">
        <v>0.19993730516691699</v>
      </c>
      <c r="AC55" s="1">
        <v>0.19722016495720501</v>
      </c>
      <c r="AD55" s="1">
        <f>AVERAGE(C55:AC55)</f>
        <v>0.19814470946899301</v>
      </c>
      <c r="AE55" s="1">
        <f>_xlfn.STDEV.P(C55:AC55)</f>
        <v>7.2094397380252128E-3</v>
      </c>
      <c r="AF55" s="1">
        <f>AE55/AD55</f>
        <v>3.638471982091146E-2</v>
      </c>
    </row>
    <row r="56" spans="1:32" ht="15" x14ac:dyDescent="0.15">
      <c r="A56" t="s">
        <v>5</v>
      </c>
      <c r="B56" s="4">
        <v>43665.628472222219</v>
      </c>
      <c r="C56" s="1">
        <v>0.20145724740559501</v>
      </c>
      <c r="D56" s="1">
        <v>0.198237433709049</v>
      </c>
      <c r="E56" s="1">
        <v>0.19791145245728101</v>
      </c>
      <c r="F56" s="1">
        <v>0.18088743744301899</v>
      </c>
      <c r="G56" s="1">
        <v>0.20603411121869999</v>
      </c>
      <c r="H56" s="1">
        <v>0.206372970534698</v>
      </c>
      <c r="I56" s="1">
        <v>0.20746076524831</v>
      </c>
      <c r="J56" s="1">
        <v>0.21916112828870099</v>
      </c>
      <c r="K56" s="1">
        <v>0.205625156685315</v>
      </c>
      <c r="L56" s="1">
        <v>0.208687764623362</v>
      </c>
      <c r="M56" s="1">
        <v>0.20309063545478101</v>
      </c>
      <c r="N56" s="1">
        <v>0.20473750628475601</v>
      </c>
      <c r="O56" s="1">
        <v>0.189112843781123</v>
      </c>
      <c r="P56" s="1">
        <v>0.20669501271278801</v>
      </c>
      <c r="Q56" s="1">
        <v>0.20525621113132</v>
      </c>
      <c r="R56" s="1">
        <v>0.18907768808899</v>
      </c>
      <c r="S56" s="1">
        <v>0.21012315473602799</v>
      </c>
      <c r="T56" s="1">
        <v>0.21519887098026799</v>
      </c>
      <c r="U56" s="1">
        <v>0.20365336626782499</v>
      </c>
      <c r="V56" s="1">
        <v>0.208633004021062</v>
      </c>
      <c r="W56" s="1">
        <v>0.19569236514406199</v>
      </c>
      <c r="X56" s="1">
        <v>0.19628771524802899</v>
      </c>
      <c r="Y56" s="1">
        <v>0.20571442789602601</v>
      </c>
      <c r="Z56" s="1">
        <v>0.20350867513225801</v>
      </c>
      <c r="AA56" s="1">
        <v>0.21295696477191001</v>
      </c>
      <c r="AB56" s="1">
        <v>0.21271539463962</v>
      </c>
      <c r="AC56" s="1">
        <v>0.20773477419238201</v>
      </c>
      <c r="AD56" s="1">
        <f>AVERAGE(C56:AC56)</f>
        <v>0.2037786695591576</v>
      </c>
      <c r="AE56" s="1">
        <f>_xlfn.STDEV.P(C56:AC56)</f>
        <v>8.2251888363234667E-3</v>
      </c>
      <c r="AF56" s="1">
        <f>AE56/AD56</f>
        <v>4.0363345457683775E-2</v>
      </c>
    </row>
    <row r="57" spans="1:32" ht="15" x14ac:dyDescent="0.15">
      <c r="A57" t="s">
        <v>5</v>
      </c>
      <c r="B57" s="4">
        <v>43683.684027777781</v>
      </c>
      <c r="C57" s="1">
        <v>0.25066860562462001</v>
      </c>
      <c r="D57" s="1">
        <v>0.25089679055855102</v>
      </c>
      <c r="E57" s="1">
        <v>0.248142495578561</v>
      </c>
      <c r="F57" s="1">
        <v>0.27996146980430198</v>
      </c>
      <c r="G57" s="1">
        <v>0.25945244069909101</v>
      </c>
      <c r="H57" s="1">
        <v>0.25812989414746002</v>
      </c>
      <c r="I57" s="1">
        <v>0.240072204565178</v>
      </c>
      <c r="J57" s="1">
        <v>0.27601579409670601</v>
      </c>
      <c r="K57" s="1">
        <v>0.25403972278769898</v>
      </c>
      <c r="L57" s="1">
        <v>0.27830853233875102</v>
      </c>
      <c r="M57" s="1">
        <v>0.24807824700039599</v>
      </c>
      <c r="N57" s="1">
        <v>0.25653563458240503</v>
      </c>
      <c r="O57" s="1">
        <v>0.29458937317253397</v>
      </c>
      <c r="P57" s="1">
        <v>0.24503603132330701</v>
      </c>
      <c r="Q57" s="1">
        <v>0.23991261555233601</v>
      </c>
      <c r="R57" s="1">
        <v>0.28461038717060499</v>
      </c>
      <c r="S57" s="1">
        <v>0.24918491411327001</v>
      </c>
      <c r="T57" s="1">
        <v>0.28111572625554898</v>
      </c>
      <c r="U57" s="1">
        <v>0.26556953822448198</v>
      </c>
      <c r="V57" s="1">
        <v>0.26277036535398901</v>
      </c>
      <c r="W57" s="1">
        <v>0.235256940046082</v>
      </c>
      <c r="X57" s="1">
        <v>0.27714249940853303</v>
      </c>
      <c r="Y57" s="1">
        <v>0.26266474722837402</v>
      </c>
      <c r="Z57" s="1">
        <v>0.254751261726536</v>
      </c>
      <c r="AA57" s="1">
        <v>0.26480683230353402</v>
      </c>
      <c r="AB57" s="1">
        <v>0.27456051384653501</v>
      </c>
      <c r="AC57" s="1">
        <v>0.24866235232534001</v>
      </c>
      <c r="AD57" s="1">
        <f>AVERAGE(C57:AC57)</f>
        <v>0.26077540480869349</v>
      </c>
      <c r="AE57" s="1">
        <f>_xlfn.STDEV.P(C57:AC57)</f>
        <v>1.5166351784414243E-2</v>
      </c>
      <c r="AF57" s="1">
        <f>AE57/AD57</f>
        <v>5.8158674110928434E-2</v>
      </c>
    </row>
    <row r="58" spans="1:32" ht="15" x14ac:dyDescent="0.15">
      <c r="A58" t="s">
        <v>5</v>
      </c>
      <c r="B58" s="4">
        <v>43693.038194444445</v>
      </c>
      <c r="C58" s="1">
        <v>0.189961969634345</v>
      </c>
      <c r="D58" s="1">
        <v>0.208680475049696</v>
      </c>
      <c r="E58" s="1">
        <v>0.18078508002247801</v>
      </c>
      <c r="F58" s="1">
        <v>0.18247438991263101</v>
      </c>
      <c r="G58" s="1">
        <v>0.204946835609914</v>
      </c>
      <c r="H58" s="1">
        <v>0.199506247068198</v>
      </c>
      <c r="I58" s="1">
        <v>0.18672037903583999</v>
      </c>
      <c r="J58" s="1">
        <v>0.19012213138860901</v>
      </c>
      <c r="K58" s="1">
        <v>0.208994135577311</v>
      </c>
      <c r="L58" s="1">
        <v>0.21208207470059501</v>
      </c>
      <c r="M58" s="1">
        <v>0.187104851616094</v>
      </c>
      <c r="N58" s="1">
        <v>0.20597884034907599</v>
      </c>
      <c r="O58" s="1">
        <v>0.188313544796303</v>
      </c>
      <c r="P58" s="1">
        <v>0.219890306708456</v>
      </c>
      <c r="Q58" s="1">
        <v>0.19878544460800601</v>
      </c>
      <c r="R58" s="1">
        <v>0.186563101215142</v>
      </c>
      <c r="S58" s="1">
        <v>0.20240258923144699</v>
      </c>
      <c r="T58" s="1">
        <v>0.16909874046242401</v>
      </c>
      <c r="U58" s="1">
        <v>0.208363084485501</v>
      </c>
      <c r="V58" s="1">
        <v>0.19698875464165799</v>
      </c>
      <c r="W58" s="1">
        <v>0.19910202222407899</v>
      </c>
      <c r="X58" s="1">
        <v>0.19120744169298901</v>
      </c>
      <c r="Y58" s="1">
        <v>0.19047913052093701</v>
      </c>
      <c r="Z58" s="1">
        <v>0.20335920535351801</v>
      </c>
      <c r="AA58" s="1">
        <v>0.19190587915058599</v>
      </c>
      <c r="AB58" s="1">
        <v>0.20921201343894699</v>
      </c>
      <c r="AC58" s="1">
        <v>0.19764518936804201</v>
      </c>
      <c r="AD58" s="1">
        <f>AVERAGE(C58:AC58)</f>
        <v>0.19669162436528975</v>
      </c>
      <c r="AE58" s="1">
        <f>_xlfn.STDEV.P(C58:AC58)</f>
        <v>1.1179256876202562E-2</v>
      </c>
      <c r="AF58" s="1">
        <f>AE58/AD58</f>
        <v>5.6836466282065901E-2</v>
      </c>
    </row>
    <row r="59" spans="1:32" ht="15" x14ac:dyDescent="0.15">
      <c r="A59" t="s">
        <v>5</v>
      </c>
      <c r="B59" s="4">
        <v>43699.829861111109</v>
      </c>
      <c r="C59" s="1">
        <v>0.15775138728719601</v>
      </c>
      <c r="D59" s="1">
        <v>0.16948742638207701</v>
      </c>
      <c r="E59" s="1">
        <v>0.15574628504233901</v>
      </c>
      <c r="F59" s="1">
        <v>0.165848766731655</v>
      </c>
      <c r="G59" s="1">
        <v>0.164775224884356</v>
      </c>
      <c r="H59" s="1">
        <v>0.16954942121601499</v>
      </c>
      <c r="I59" s="1">
        <v>0.161851120378142</v>
      </c>
      <c r="J59" s="1">
        <v>0.15419364486165901</v>
      </c>
      <c r="K59" s="1">
        <v>0.16488275882974701</v>
      </c>
      <c r="L59" s="1">
        <v>0.163398541768146</v>
      </c>
      <c r="M59" s="1">
        <v>0.15117310151090799</v>
      </c>
      <c r="N59" s="1">
        <v>0.179272817953643</v>
      </c>
      <c r="O59" s="1">
        <v>0.16855310630714801</v>
      </c>
      <c r="P59" s="1">
        <v>0.17317983270342699</v>
      </c>
      <c r="Q59" s="1">
        <v>0.167811878194077</v>
      </c>
      <c r="R59" s="1">
        <v>0.16951691777188899</v>
      </c>
      <c r="S59" s="1">
        <v>0.16701976605687599</v>
      </c>
      <c r="T59" s="1">
        <v>0.15412433781822399</v>
      </c>
      <c r="U59" s="1">
        <v>0.16530556893352299</v>
      </c>
      <c r="V59" s="1">
        <v>0.16249163802771099</v>
      </c>
      <c r="W59" s="1">
        <v>0.16707687350627401</v>
      </c>
      <c r="X59" s="1">
        <v>0.16659688116982299</v>
      </c>
      <c r="Y59" s="1">
        <v>0.167820688857342</v>
      </c>
      <c r="Z59" s="1">
        <v>0.16513500694758401</v>
      </c>
      <c r="AA59" s="1">
        <v>0.16194992725826099</v>
      </c>
      <c r="AB59" s="1">
        <v>0.170142918761954</v>
      </c>
      <c r="AC59" s="1">
        <v>0.172939026809629</v>
      </c>
      <c r="AD59" s="1">
        <f>AVERAGE(C59:AC59)</f>
        <v>0.16509610614702311</v>
      </c>
      <c r="AE59" s="1">
        <f>_xlfn.STDEV.P(C59:AC59)</f>
        <v>6.2476776167432243E-3</v>
      </c>
      <c r="AF59" s="1">
        <f>AE59/AD59</f>
        <v>3.7842670929982308E-2</v>
      </c>
    </row>
    <row r="60" spans="1:32" ht="15" x14ac:dyDescent="0.15">
      <c r="A60" t="s">
        <v>5</v>
      </c>
      <c r="B60" s="4">
        <v>43707.607638888891</v>
      </c>
      <c r="C60" s="1">
        <v>0.25223769979161997</v>
      </c>
      <c r="D60" s="1">
        <v>0.25442858557987302</v>
      </c>
      <c r="E60" s="1">
        <v>0.24578854907421799</v>
      </c>
      <c r="F60" s="1">
        <v>0.24558778427448499</v>
      </c>
      <c r="G60" s="1">
        <v>0.241049821222063</v>
      </c>
      <c r="H60" s="1">
        <v>0.24272358562096399</v>
      </c>
      <c r="I60" s="1">
        <v>0.23823558282957999</v>
      </c>
      <c r="J60" s="1">
        <v>0.228126364720867</v>
      </c>
      <c r="K60" s="1">
        <v>0.28109082111632899</v>
      </c>
      <c r="L60" s="1">
        <v>0.23810980525986</v>
      </c>
      <c r="M60" s="1">
        <v>0.23754498599773699</v>
      </c>
      <c r="N60" s="1">
        <v>0.26139687978668802</v>
      </c>
      <c r="O60" s="1">
        <v>0.21146056803051999</v>
      </c>
      <c r="P60" s="1">
        <v>0.24028587769901999</v>
      </c>
      <c r="Q60" s="1">
        <v>0.25162420252378598</v>
      </c>
      <c r="R60" s="1">
        <v>0.19459835727233199</v>
      </c>
      <c r="S60" s="1">
        <v>0.256903523288872</v>
      </c>
      <c r="T60" s="1">
        <v>0.21680534500538601</v>
      </c>
      <c r="U60" s="1">
        <v>0.226992249017546</v>
      </c>
      <c r="V60" s="1">
        <v>0.22931837082686299</v>
      </c>
      <c r="W60" s="1">
        <v>0.257854571505645</v>
      </c>
      <c r="X60" s="1">
        <v>0.24568647887826001</v>
      </c>
      <c r="Y60" s="1">
        <v>0.222220745832028</v>
      </c>
      <c r="Z60" s="1">
        <v>0.25560603658973602</v>
      </c>
      <c r="AA60" s="1">
        <v>0.225710910361068</v>
      </c>
      <c r="AB60" s="1">
        <v>0.22445905518669401</v>
      </c>
      <c r="AC60" s="1">
        <v>0.25858437536650603</v>
      </c>
      <c r="AD60" s="1">
        <f>AVERAGE(C60:AC60)</f>
        <v>0.24016411602439053</v>
      </c>
      <c r="AE60" s="1">
        <f>_xlfn.STDEV.P(C60:AC60)</f>
        <v>1.7795473132165993E-2</v>
      </c>
      <c r="AF60" s="1">
        <f>AE60/AD60</f>
        <v>7.4097135853379209E-2</v>
      </c>
    </row>
    <row r="61" spans="1:32" ht="15" x14ac:dyDescent="0.15">
      <c r="A61" t="s">
        <v>5</v>
      </c>
      <c r="B61" s="4">
        <v>43726.791666666664</v>
      </c>
      <c r="C61" s="1">
        <v>0.11127681836758201</v>
      </c>
      <c r="D61" s="1">
        <v>0.111473955299216</v>
      </c>
      <c r="E61" s="1">
        <v>0.120194458787713</v>
      </c>
      <c r="F61" s="1">
        <v>0.11629543974314099</v>
      </c>
      <c r="G61" s="1">
        <v>0.115450782576334</v>
      </c>
      <c r="H61" s="1">
        <v>0.115908002239168</v>
      </c>
      <c r="I61" s="1">
        <v>0.122058553045383</v>
      </c>
      <c r="J61" s="1">
        <v>0.11701737140176501</v>
      </c>
      <c r="K61" s="1">
        <v>0.116746258896137</v>
      </c>
      <c r="L61" s="1">
        <v>0.1162996629518</v>
      </c>
      <c r="M61" s="1">
        <v>0.122898069693386</v>
      </c>
      <c r="N61" s="1">
        <v>0.115719915678345</v>
      </c>
      <c r="O61" s="1">
        <v>0.114135672366751</v>
      </c>
      <c r="P61" s="1">
        <v>0.11511487350352501</v>
      </c>
      <c r="Q61" s="1">
        <v>0.10987650107401099</v>
      </c>
      <c r="R61" s="1">
        <v>0.11724784376962399</v>
      </c>
      <c r="S61" s="1">
        <v>0.113851597921518</v>
      </c>
      <c r="T61" s="1">
        <v>0.10875644539649799</v>
      </c>
      <c r="U61" s="1">
        <v>0.118462875658654</v>
      </c>
      <c r="V61" s="1">
        <v>0.11990265395944801</v>
      </c>
      <c r="W61" s="1">
        <v>0.112625838451551</v>
      </c>
      <c r="X61" s="1">
        <v>0.11382459557404601</v>
      </c>
      <c r="Y61" s="1">
        <v>0.117636124401801</v>
      </c>
      <c r="Z61" s="1">
        <v>0.110704979117442</v>
      </c>
      <c r="AA61" s="1">
        <v>0.11588717630861201</v>
      </c>
      <c r="AB61" s="1">
        <v>0.120764487064401</v>
      </c>
      <c r="AC61" s="1">
        <v>0.12194505318221099</v>
      </c>
      <c r="AD61" s="1">
        <f>AVERAGE(C61:AC61)</f>
        <v>0.11600281505296531</v>
      </c>
      <c r="AE61" s="1">
        <f>_xlfn.STDEV.P(C61:AC61)</f>
        <v>3.7189043018598478E-3</v>
      </c>
      <c r="AF61" s="1">
        <f>AE61/AD61</f>
        <v>3.2058741851754606E-2</v>
      </c>
    </row>
    <row r="62" spans="1:32" ht="15" x14ac:dyDescent="0.15">
      <c r="A62" t="s">
        <v>5</v>
      </c>
      <c r="B62" s="4">
        <v>43738.246527777781</v>
      </c>
      <c r="C62" s="1">
        <v>0.18398448525483599</v>
      </c>
      <c r="D62" s="1">
        <v>0.20421729016130299</v>
      </c>
      <c r="E62" s="1">
        <v>0.18003967577307201</v>
      </c>
      <c r="F62" s="1">
        <v>0.18612663890850401</v>
      </c>
      <c r="G62" s="1">
        <v>0.19923415827546301</v>
      </c>
      <c r="H62" s="1">
        <v>0.189924985675337</v>
      </c>
      <c r="I62" s="1">
        <v>0.17612107292456999</v>
      </c>
      <c r="J62" s="1">
        <v>0.17916589294652199</v>
      </c>
      <c r="K62" s="1">
        <v>0.19911567068653099</v>
      </c>
      <c r="L62" s="1">
        <v>0.202672518999539</v>
      </c>
      <c r="M62" s="1">
        <v>0.181006686089559</v>
      </c>
      <c r="N62" s="1">
        <v>0.19216985987690099</v>
      </c>
      <c r="O62" s="1">
        <v>0.18986874845344801</v>
      </c>
      <c r="P62" s="1">
        <v>0.21155900530942001</v>
      </c>
      <c r="Q62" s="1">
        <v>0.19897099141073399</v>
      </c>
      <c r="R62" s="1">
        <v>0.18365355067922601</v>
      </c>
      <c r="S62" s="1">
        <v>0.188339828205069</v>
      </c>
      <c r="T62" s="1">
        <v>0.17275410907661401</v>
      </c>
      <c r="U62" s="1">
        <v>0.20909447740669501</v>
      </c>
      <c r="V62" s="1">
        <v>0.19201109066819</v>
      </c>
      <c r="W62" s="1">
        <v>0.196910784942887</v>
      </c>
      <c r="X62" s="1">
        <v>0.18647320143728699</v>
      </c>
      <c r="Y62" s="1">
        <v>0.18478271282025799</v>
      </c>
      <c r="Z62" s="1">
        <v>0.19563920175684399</v>
      </c>
      <c r="AA62" s="1">
        <v>0.191101312088855</v>
      </c>
      <c r="AB62" s="1">
        <v>0.20476504005291599</v>
      </c>
      <c r="AC62" s="1">
        <v>0.192416605000926</v>
      </c>
      <c r="AD62" s="1">
        <f>AVERAGE(C62:AC62)</f>
        <v>0.1915599849956113</v>
      </c>
      <c r="AE62" s="1">
        <f>_xlfn.STDEV.P(C62:AC62)</f>
        <v>9.8319933472517298E-3</v>
      </c>
      <c r="AF62" s="1">
        <f>AE62/AD62</f>
        <v>5.1325924605167328E-2</v>
      </c>
    </row>
    <row r="63" spans="1:32" ht="15" x14ac:dyDescent="0.15">
      <c r="A63" t="s">
        <v>6</v>
      </c>
      <c r="B63" s="4">
        <v>43267.770833333336</v>
      </c>
      <c r="C63" s="1">
        <v>0.21665862741839101</v>
      </c>
      <c r="D63" s="1">
        <v>0.19595599984052101</v>
      </c>
      <c r="E63" s="1">
        <v>0.18914228234678299</v>
      </c>
      <c r="F63" s="1">
        <v>0.197506734185181</v>
      </c>
      <c r="G63" s="1">
        <v>0.19918832390166799</v>
      </c>
      <c r="H63" s="1">
        <v>0.20044125323620099</v>
      </c>
      <c r="I63" s="1">
        <v>0.19998675253161299</v>
      </c>
      <c r="J63" s="1">
        <v>0.18062501265446501</v>
      </c>
      <c r="K63" s="1">
        <v>0.203075773585077</v>
      </c>
      <c r="L63" s="1">
        <v>0.19640926159505301</v>
      </c>
      <c r="M63" s="1">
        <v>0.176507433032385</v>
      </c>
      <c r="N63" s="1">
        <v>0.20217490460478699</v>
      </c>
      <c r="O63" s="1">
        <v>0.202496749633364</v>
      </c>
      <c r="P63" s="1">
        <v>0.202999500705659</v>
      </c>
      <c r="Q63" s="1">
        <v>0.198823268549742</v>
      </c>
      <c r="R63" s="1">
        <v>0.19332977633690199</v>
      </c>
      <c r="S63" s="1">
        <v>0.20797520228403299</v>
      </c>
      <c r="T63" s="1">
        <v>0.176471779474622</v>
      </c>
      <c r="U63" s="1">
        <v>0.19999251755194999</v>
      </c>
      <c r="V63" s="1">
        <v>0.20010086106303401</v>
      </c>
      <c r="W63" s="1">
        <v>0.199988599587102</v>
      </c>
      <c r="X63" s="1">
        <v>0.17477274479875801</v>
      </c>
      <c r="Y63" s="1">
        <v>0.20264984508431499</v>
      </c>
      <c r="Z63" s="1">
        <v>0.208496848559132</v>
      </c>
      <c r="AA63" s="1">
        <v>0.20530970687920999</v>
      </c>
      <c r="AB63" s="1">
        <v>0.20751171955855699</v>
      </c>
      <c r="AC63" s="1">
        <v>0.20271637532157999</v>
      </c>
      <c r="AD63" s="1">
        <f>AVERAGE(C63:AC63)</f>
        <v>0.19782621682666976</v>
      </c>
      <c r="AE63" s="1">
        <f>_xlfn.STDEV.P(C63:AC63)</f>
        <v>1.0058244437499902E-2</v>
      </c>
      <c r="AF63" s="1">
        <f>AE63/AD63</f>
        <v>5.0843839602476334E-2</v>
      </c>
    </row>
    <row r="64" spans="1:32" ht="15" x14ac:dyDescent="0.15">
      <c r="A64" t="s">
        <v>6</v>
      </c>
      <c r="B64" s="4">
        <v>43274.204861111109</v>
      </c>
      <c r="C64" s="1">
        <v>0.20535199130937901</v>
      </c>
      <c r="D64" s="1">
        <v>0.17863953048318301</v>
      </c>
      <c r="E64" s="1">
        <v>0.200093599152425</v>
      </c>
      <c r="F64" s="1">
        <v>0.17727275682048299</v>
      </c>
      <c r="G64" s="1">
        <v>0.183740645654206</v>
      </c>
      <c r="H64" s="1">
        <v>0.19335174668920599</v>
      </c>
      <c r="I64" s="1">
        <v>0.196421717464313</v>
      </c>
      <c r="J64" s="1">
        <v>0.18079405806056301</v>
      </c>
      <c r="K64" s="1">
        <v>0.173458440174172</v>
      </c>
      <c r="L64" s="1">
        <v>0.17698164329142499</v>
      </c>
      <c r="M64" s="1">
        <v>0.21362625871499899</v>
      </c>
      <c r="N64" s="1">
        <v>0.18929103322624999</v>
      </c>
      <c r="O64" s="1">
        <v>0.163173399571202</v>
      </c>
      <c r="P64" s="1">
        <v>0.20182348188597701</v>
      </c>
      <c r="Q64" s="1">
        <v>0.16546084609157599</v>
      </c>
      <c r="R64" s="1">
        <v>0.19938335570225901</v>
      </c>
      <c r="S64" s="1">
        <v>0.173423052457059</v>
      </c>
      <c r="T64" s="1">
        <v>0.16962674812028899</v>
      </c>
      <c r="U64" s="1">
        <v>0.179075690514959</v>
      </c>
      <c r="V64" s="1">
        <v>0.20212672957271499</v>
      </c>
      <c r="W64" s="1">
        <v>0.20983020034793401</v>
      </c>
      <c r="X64" s="1">
        <v>0.18127600816439099</v>
      </c>
      <c r="Y64" s="1">
        <v>0.19564726990414599</v>
      </c>
      <c r="Z64" s="1">
        <v>0.166711283580248</v>
      </c>
      <c r="AA64" s="1">
        <v>0.18120902293447999</v>
      </c>
      <c r="AB64" s="1">
        <v>0.18069580434679999</v>
      </c>
      <c r="AC64" s="1">
        <v>0.17848381784133699</v>
      </c>
      <c r="AD64" s="1">
        <f>AVERAGE(C64:AC64)</f>
        <v>0.1858137085954065</v>
      </c>
      <c r="AE64" s="1">
        <f>_xlfn.STDEV.P(C64:AC64)</f>
        <v>1.3850592277640305E-2</v>
      </c>
      <c r="AF64" s="1">
        <f>AE64/AD64</f>
        <v>7.4540206868153033E-2</v>
      </c>
    </row>
    <row r="65" spans="1:32" ht="15" x14ac:dyDescent="0.15">
      <c r="A65" t="s">
        <v>6</v>
      </c>
      <c r="B65" s="4">
        <v>43338.875</v>
      </c>
      <c r="C65" s="1">
        <v>0.18268593051648899</v>
      </c>
      <c r="D65" s="1">
        <v>0.1800940929522</v>
      </c>
      <c r="E65" s="1">
        <v>0.20588188382945799</v>
      </c>
      <c r="F65" s="1">
        <v>0.20762564920538701</v>
      </c>
      <c r="G65" s="1">
        <v>0.188769527370138</v>
      </c>
      <c r="H65" s="1">
        <v>0.17819792245126001</v>
      </c>
      <c r="I65" s="1">
        <v>0.19412594316759399</v>
      </c>
      <c r="J65" s="1">
        <v>0.16345611937542001</v>
      </c>
      <c r="K65" s="1">
        <v>0.185723261441222</v>
      </c>
      <c r="L65" s="1">
        <v>0.19329077341181</v>
      </c>
      <c r="M65" s="1">
        <v>0.200365538132382</v>
      </c>
      <c r="N65" s="1">
        <v>0.17881964887972601</v>
      </c>
      <c r="O65" s="1">
        <v>0.18809048359449099</v>
      </c>
      <c r="P65" s="1">
        <v>0.209498086306112</v>
      </c>
      <c r="Q65" s="1">
        <v>0.187293690055608</v>
      </c>
      <c r="R65" s="1">
        <v>0.173838462212451</v>
      </c>
      <c r="S65" s="1">
        <v>0.17262950988511899</v>
      </c>
      <c r="T65" s="1">
        <v>0.17088050679546199</v>
      </c>
      <c r="U65" s="1">
        <v>0.17956844781308801</v>
      </c>
      <c r="V65" s="1">
        <v>0.190626971509082</v>
      </c>
      <c r="W65" s="1">
        <v>0.19519743735838799</v>
      </c>
      <c r="X65" s="1">
        <v>0.18070245789637099</v>
      </c>
      <c r="Y65" s="1">
        <v>0.18865482822593899</v>
      </c>
      <c r="Z65" s="1">
        <v>0.190297313307071</v>
      </c>
      <c r="AA65" s="1">
        <v>0.18446352509578801</v>
      </c>
      <c r="AB65" s="1">
        <v>0.17838697748907001</v>
      </c>
      <c r="AC65" s="1">
        <v>0.184765869875088</v>
      </c>
      <c r="AD65" s="1">
        <f>AVERAGE(C65:AC65)</f>
        <v>0.18644188363526717</v>
      </c>
      <c r="AE65" s="1">
        <f>_xlfn.STDEV.P(C65:AC65)</f>
        <v>1.0943914991836768E-2</v>
      </c>
      <c r="AF65" s="1">
        <f>AE65/AD65</f>
        <v>5.8698800819059239E-2</v>
      </c>
    </row>
    <row r="66" spans="1:32" ht="15" x14ac:dyDescent="0.15">
      <c r="A66" t="s">
        <v>6</v>
      </c>
      <c r="B66" s="4">
        <v>43624.600694444445</v>
      </c>
      <c r="C66" s="1">
        <v>0.245281168654293</v>
      </c>
      <c r="D66" s="1">
        <v>0.24749615697744701</v>
      </c>
      <c r="E66" s="1">
        <v>0.233724054338103</v>
      </c>
      <c r="F66" s="1">
        <v>0.263573317224363</v>
      </c>
      <c r="G66" s="1">
        <v>0.243704443961995</v>
      </c>
      <c r="H66" s="1">
        <v>0.243964716263806</v>
      </c>
      <c r="I66" s="1">
        <v>0.23289036931134099</v>
      </c>
      <c r="J66" s="1">
        <v>0.24105118090502201</v>
      </c>
      <c r="K66" s="1">
        <v>0.242346318587086</v>
      </c>
      <c r="L66" s="1">
        <v>0.24609377465831</v>
      </c>
      <c r="M66" s="1">
        <v>0.24754045614581399</v>
      </c>
      <c r="N66" s="1">
        <v>0.24265012415906601</v>
      </c>
      <c r="O66" s="1">
        <v>0.25267632372912702</v>
      </c>
      <c r="P66" s="1">
        <v>0.23005495391388001</v>
      </c>
      <c r="Q66" s="1">
        <v>0.25280436874496798</v>
      </c>
      <c r="R66" s="1">
        <v>0.26146653861939301</v>
      </c>
      <c r="S66" s="1">
        <v>0.23985306501921499</v>
      </c>
      <c r="T66" s="1">
        <v>0.25605791859788901</v>
      </c>
      <c r="U66" s="1">
        <v>0.239942988967215</v>
      </c>
      <c r="V66" s="1">
        <v>0.247511260995708</v>
      </c>
      <c r="W66" s="1">
        <v>0.21813050127797901</v>
      </c>
      <c r="X66" s="1">
        <v>0.22420563282429601</v>
      </c>
      <c r="Y66" s="1">
        <v>0.25193634170861601</v>
      </c>
      <c r="Z66" s="1">
        <v>0.24366882370154</v>
      </c>
      <c r="AA66" s="1">
        <v>0.252139853549251</v>
      </c>
      <c r="AB66" s="1">
        <v>0.253185682450978</v>
      </c>
      <c r="AC66" s="1">
        <v>0.24233575122715501</v>
      </c>
      <c r="AD66" s="1">
        <f>AVERAGE(C66:AC66)</f>
        <v>0.24430689209310574</v>
      </c>
      <c r="AE66" s="1">
        <f>_xlfn.STDEV.P(C66:AC66)</f>
        <v>1.0137901632152375E-2</v>
      </c>
      <c r="AF66" s="1">
        <f>AE66/AD66</f>
        <v>4.1496584665686814E-2</v>
      </c>
    </row>
    <row r="67" spans="1:32" x14ac:dyDescent="0.15">
      <c r="B67" s="7"/>
    </row>
  </sheetData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TSS</vt:lpstr>
      <vt:lpstr>TN</vt:lpstr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Haibin Yan</cp:lastModifiedBy>
  <dcterms:created xsi:type="dcterms:W3CDTF">2023-05-12T11:15:00Z</dcterms:created>
  <dcterms:modified xsi:type="dcterms:W3CDTF">2026-02-11T02:11:34Z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